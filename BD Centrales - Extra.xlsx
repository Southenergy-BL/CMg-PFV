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ryan\Southenergy Spa Dropbox\Project Activos PV\20 - Análisis\Análisis centrales\Resultados\"/>
    </mc:Choice>
  </mc:AlternateContent>
  <xr:revisionPtr revIDLastSave="0" documentId="13_ncr:1_{56F275FB-DE7A-43AA-BAAA-674B50A9D6B4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</calcChain>
</file>

<file path=xl/sharedStrings.xml><?xml version="1.0" encoding="utf-8"?>
<sst xmlns="http://schemas.openxmlformats.org/spreadsheetml/2006/main" count="67" uniqueCount="67">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</sst>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9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9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D3" t="str">
            <v>PFV VICTOR JARA</v>
          </cell>
          <cell r="CD3" t="str">
            <v>-</v>
          </cell>
          <cell r="CE3" t="str">
            <v>-</v>
          </cell>
        </row>
        <row r="4">
          <cell r="D4" t="str">
            <v>PFV ANDES SOLAR III</v>
          </cell>
          <cell r="CD4" t="str">
            <v>-</v>
          </cell>
          <cell r="CE4" t="str">
            <v>-</v>
          </cell>
        </row>
        <row r="5">
          <cell r="D5" t="str">
            <v>PFV CALEU</v>
          </cell>
          <cell r="CD5" t="str">
            <v>-</v>
          </cell>
          <cell r="CE5" t="str">
            <v>-</v>
          </cell>
        </row>
        <row r="6">
          <cell r="D6" t="str">
            <v>PFV GRAN TENO</v>
          </cell>
          <cell r="CD6">
            <v>340.36306314953293</v>
          </cell>
          <cell r="CE6">
            <v>340.36306314953293</v>
          </cell>
        </row>
        <row r="7">
          <cell r="D7" t="str">
            <v>PFV ANDES SOLAR II</v>
          </cell>
          <cell r="CD7">
            <v>261.63933396239332</v>
          </cell>
          <cell r="CE7">
            <v>154.25090610149064</v>
          </cell>
        </row>
        <row r="8">
          <cell r="D8" t="str">
            <v>PFV TAMAYA SOLAR</v>
          </cell>
          <cell r="CD8">
            <v>258.53120988875185</v>
          </cell>
          <cell r="CE8">
            <v>116.69232684199737</v>
          </cell>
        </row>
        <row r="9">
          <cell r="D9" t="str">
            <v>PFV DOÑA ANTONIA</v>
          </cell>
          <cell r="CD9">
            <v>225.14796721950631</v>
          </cell>
          <cell r="CE9">
            <v>225.14796721950631</v>
          </cell>
        </row>
        <row r="10">
          <cell r="D10" t="str">
            <v>PFV DIEGO DE ALMAGRO</v>
          </cell>
          <cell r="CD10">
            <v>212.91676434569115</v>
          </cell>
          <cell r="CE10">
            <v>190.90031470068843</v>
          </cell>
        </row>
        <row r="11">
          <cell r="D11" t="str">
            <v>PFV DOÑA CARMEN SOLAR</v>
          </cell>
          <cell r="CD11">
            <v>184.07262385643253</v>
          </cell>
          <cell r="CE11">
            <v>173.34955912683731</v>
          </cell>
        </row>
        <row r="12">
          <cell r="D12" t="str">
            <v>PFV LA HUAYCA II</v>
          </cell>
          <cell r="CD12">
            <v>182.41667069729561</v>
          </cell>
          <cell r="CE12">
            <v>145.62272360314196</v>
          </cell>
        </row>
        <row r="13">
          <cell r="D13" t="str">
            <v>PFV CHAÑARES</v>
          </cell>
          <cell r="CD13">
            <v>178.3717745686545</v>
          </cell>
          <cell r="CE13">
            <v>160.32307404988748</v>
          </cell>
        </row>
        <row r="14">
          <cell r="D14" t="str">
            <v>PFV MARIA ELENA</v>
          </cell>
          <cell r="CD14">
            <v>165.40925469740816</v>
          </cell>
          <cell r="CE14">
            <v>164.3939197409471</v>
          </cell>
        </row>
        <row r="15">
          <cell r="D15" t="str">
            <v>PFV QUILAPILUN</v>
          </cell>
          <cell r="CD15">
            <v>159.96688852477408</v>
          </cell>
          <cell r="CE15">
            <v>150.66054694362239</v>
          </cell>
        </row>
        <row r="16">
          <cell r="D16" t="str">
            <v>PFV POZO ALMONTE SOLAR III</v>
          </cell>
          <cell r="CD16">
            <v>155.71867874430706</v>
          </cell>
          <cell r="CE16">
            <v>128.62108734359308</v>
          </cell>
        </row>
        <row r="17">
          <cell r="D17" t="str">
            <v>PFV CARRERA PINTO</v>
          </cell>
          <cell r="CD17">
            <v>155.50186037465843</v>
          </cell>
          <cell r="CE17">
            <v>131.2541894992178</v>
          </cell>
        </row>
        <row r="18">
          <cell r="D18" t="str">
            <v>PFV JAVIERA</v>
          </cell>
          <cell r="CD18">
            <v>151.54931562087606</v>
          </cell>
          <cell r="CE18">
            <v>153.36115611189666</v>
          </cell>
        </row>
        <row r="19">
          <cell r="D19" t="str">
            <v>PFV EL ROMERO</v>
          </cell>
          <cell r="CD19">
            <v>150.53150087405055</v>
          </cell>
          <cell r="CE19">
            <v>126.29025312310564</v>
          </cell>
        </row>
        <row r="20">
          <cell r="D20" t="str">
            <v>PFV LLANO DE LLAMPOS</v>
          </cell>
          <cell r="CD20">
            <v>147.10751532332384</v>
          </cell>
          <cell r="CE20">
            <v>142.61474714826912</v>
          </cell>
        </row>
        <row r="21">
          <cell r="D21" t="str">
            <v>PFV LALACKAMA</v>
          </cell>
          <cell r="CD21">
            <v>143.37493574349742</v>
          </cell>
          <cell r="CE21">
            <v>133.7946701446663</v>
          </cell>
        </row>
        <row r="22">
          <cell r="D22" t="str">
            <v>PFV LALACKAMA II</v>
          </cell>
          <cell r="CD22">
            <v>142.23624220911466</v>
          </cell>
          <cell r="CE22">
            <v>134.57381133419318</v>
          </cell>
        </row>
        <row r="23">
          <cell r="D23" t="str">
            <v>PFV JAMA</v>
          </cell>
          <cell r="CD23">
            <v>137.30925624718762</v>
          </cell>
          <cell r="CE23">
            <v>123.4689482698556</v>
          </cell>
        </row>
        <row r="24">
          <cell r="D24" t="str">
            <v>PFV LUZ DEL NORTE</v>
          </cell>
          <cell r="CD24">
            <v>134.08829640288874</v>
          </cell>
          <cell r="CE24">
            <v>118.82812570112476</v>
          </cell>
        </row>
        <row r="25">
          <cell r="D25" t="str">
            <v>PFV DON HUMBERTO</v>
          </cell>
          <cell r="CD25">
            <v>130.48572110243344</v>
          </cell>
          <cell r="CE25">
            <v>130.48572110243344</v>
          </cell>
        </row>
        <row r="26">
          <cell r="D26" t="str">
            <v>PFV PAMPA SOLAR NORTE</v>
          </cell>
          <cell r="CD26">
            <v>127.45927135686706</v>
          </cell>
          <cell r="CE26">
            <v>117.55952975574159</v>
          </cell>
        </row>
        <row r="27">
          <cell r="D27" t="str">
            <v>PFV CAPRICORNIO</v>
          </cell>
          <cell r="CD27">
            <v>120.86019668952748</v>
          </cell>
          <cell r="CE27">
            <v>77.673577614814533</v>
          </cell>
        </row>
        <row r="28">
          <cell r="D28" t="str">
            <v>PFV ANDES SOLAR</v>
          </cell>
          <cell r="CD28">
            <v>117.00468059513956</v>
          </cell>
          <cell r="CE28">
            <v>107.06022465930636</v>
          </cell>
        </row>
        <row r="29">
          <cell r="D29" t="str">
            <v>PFV GRANJA SOLAR</v>
          </cell>
          <cell r="CD29">
            <v>115.95328370578751</v>
          </cell>
          <cell r="CE29">
            <v>73.249911595920381</v>
          </cell>
        </row>
        <row r="30">
          <cell r="D30" t="str">
            <v>PFV ELENA</v>
          </cell>
          <cell r="CD30">
            <v>113.47776926480164</v>
          </cell>
          <cell r="CE30">
            <v>77.517731576601136</v>
          </cell>
        </row>
        <row r="31">
          <cell r="D31" t="str">
            <v>PFV SANTIAGO SOLAR</v>
          </cell>
          <cell r="CD31">
            <v>106.19134821796176</v>
          </cell>
          <cell r="CE31">
            <v>106.46671004953231</v>
          </cell>
        </row>
        <row r="32">
          <cell r="D32" t="str">
            <v>PFV FINIS TERRAE</v>
          </cell>
          <cell r="CD32">
            <v>105.61995670504089</v>
          </cell>
          <cell r="CE32">
            <v>100.36528779080838</v>
          </cell>
        </row>
        <row r="33">
          <cell r="D33" t="str">
            <v>PFV USYA</v>
          </cell>
          <cell r="CD33">
            <v>101.99069847540675</v>
          </cell>
          <cell r="CE33">
            <v>71.964555409210689</v>
          </cell>
        </row>
        <row r="34">
          <cell r="D34" t="str">
            <v>PFV TUTUVEN</v>
          </cell>
          <cell r="CD34">
            <v>101.75430493021173</v>
          </cell>
          <cell r="CE34" t="str">
            <v>-</v>
          </cell>
        </row>
        <row r="35">
          <cell r="D35" t="str">
            <v>PFV CONEJO SOLAR</v>
          </cell>
          <cell r="CD35">
            <v>97.844422713934776</v>
          </cell>
          <cell r="CE35">
            <v>97.238183111387499</v>
          </cell>
        </row>
        <row r="36">
          <cell r="D36" t="str">
            <v>PFV SOL DE LOS ANDES</v>
          </cell>
          <cell r="CD36">
            <v>96.151671241546708</v>
          </cell>
          <cell r="CE36">
            <v>63.301005566807682</v>
          </cell>
        </row>
        <row r="37">
          <cell r="D37" t="str">
            <v>PFV DESIERTO DE ATACAMA</v>
          </cell>
          <cell r="CD37">
            <v>95.889787690443541</v>
          </cell>
          <cell r="CE37" t="str">
            <v>-</v>
          </cell>
        </row>
        <row r="38">
          <cell r="D38" t="str">
            <v>PFV BOLERO</v>
          </cell>
          <cell r="CD38">
            <v>95.498581478081192</v>
          </cell>
          <cell r="CE38">
            <v>91.571363913723303</v>
          </cell>
        </row>
        <row r="39">
          <cell r="D39" t="str">
            <v>PFV SALVADOR</v>
          </cell>
          <cell r="CD39">
            <v>93.607486248881401</v>
          </cell>
          <cell r="CE39">
            <v>279.63938708891095</v>
          </cell>
        </row>
        <row r="40">
          <cell r="D40" t="str">
            <v>PFV SANTA ISABEL</v>
          </cell>
          <cell r="CD40">
            <v>92.990504377886353</v>
          </cell>
          <cell r="CE40">
            <v>137.26143535275247</v>
          </cell>
        </row>
        <row r="41">
          <cell r="D41" t="str">
            <v>PFV GUANCHOI</v>
          </cell>
          <cell r="CD41">
            <v>92.236964944062848</v>
          </cell>
          <cell r="CE41">
            <v>68.858303116464398</v>
          </cell>
        </row>
        <row r="42">
          <cell r="D42" t="str">
            <v>PFV SOL DE LILA</v>
          </cell>
          <cell r="CD42">
            <v>91.398662501573469</v>
          </cell>
          <cell r="CE42">
            <v>58.595599722111082</v>
          </cell>
        </row>
        <row r="43">
          <cell r="D43" t="str">
            <v>PFV AZABACHE</v>
          </cell>
          <cell r="CD43">
            <v>90.663901448570243</v>
          </cell>
          <cell r="CE43">
            <v>58.308560240126781</v>
          </cell>
        </row>
        <row r="44">
          <cell r="D44" t="str">
            <v>PFV EL PELICANO</v>
          </cell>
          <cell r="CD44">
            <v>87.353465167615525</v>
          </cell>
          <cell r="CE44">
            <v>85.46269087234684</v>
          </cell>
        </row>
        <row r="45">
          <cell r="D45" t="str">
            <v>PFV CERRO DOMINADOR</v>
          </cell>
          <cell r="CD45">
            <v>81.329008645014241</v>
          </cell>
          <cell r="CE45">
            <v>78.097831211286106</v>
          </cell>
        </row>
        <row r="46">
          <cell r="D46" t="str">
            <v>PFV URIBE SOLAR</v>
          </cell>
          <cell r="CD46">
            <v>77.489457860750406</v>
          </cell>
          <cell r="CE46">
            <v>96.082038641272788</v>
          </cell>
        </row>
        <row r="47">
          <cell r="D47" t="str">
            <v>PFV SAN ANDRES</v>
          </cell>
          <cell r="CD47">
            <v>76.428287381574279</v>
          </cell>
          <cell r="CE47">
            <v>213.69474255136006</v>
          </cell>
        </row>
        <row r="48">
          <cell r="D48" t="str">
            <v>PFV NUEVO QUILLAGUA</v>
          </cell>
          <cell r="CD48">
            <v>74.352491824072459</v>
          </cell>
          <cell r="CE48">
            <v>62.959486745461732</v>
          </cell>
        </row>
        <row r="49">
          <cell r="D49" t="str">
            <v>PFV ALMEYDA</v>
          </cell>
          <cell r="CD49">
            <v>72.185778981537624</v>
          </cell>
          <cell r="CE49">
            <v>56.377157688509307</v>
          </cell>
        </row>
        <row r="50">
          <cell r="D50" t="str">
            <v>PFV DOMEYKO</v>
          </cell>
          <cell r="CD50">
            <v>67.586701086894706</v>
          </cell>
          <cell r="CE50">
            <v>63.121847506757014</v>
          </cell>
        </row>
        <row r="51">
          <cell r="D51" t="str">
            <v>PFV NUEVO QUILLAGUA II</v>
          </cell>
          <cell r="CD51">
            <v>63.442273740022721</v>
          </cell>
          <cell r="CE51" t="str">
            <v>-</v>
          </cell>
        </row>
        <row r="52">
          <cell r="D52" t="str">
            <v>PFV RIO ESCONDIDO</v>
          </cell>
          <cell r="CD52">
            <v>63.352321353673524</v>
          </cell>
          <cell r="CE52">
            <v>58.213209897553845</v>
          </cell>
        </row>
        <row r="53">
          <cell r="D53" t="str">
            <v>PFV LEYDA</v>
          </cell>
          <cell r="CD53">
            <v>62.577762755201285</v>
          </cell>
          <cell r="CE53" t="str">
            <v>-</v>
          </cell>
        </row>
        <row r="54">
          <cell r="D54" t="str">
            <v>PFV ATACAMA SOLAR II</v>
          </cell>
          <cell r="CD54">
            <v>62.216151585762177</v>
          </cell>
          <cell r="CE54">
            <v>51.173475954890485</v>
          </cell>
        </row>
        <row r="55">
          <cell r="D55" t="str">
            <v>PFV WILLKA</v>
          </cell>
          <cell r="CD55">
            <v>60.129708168778912</v>
          </cell>
          <cell r="CE55">
            <v>60.129708168778912</v>
          </cell>
        </row>
        <row r="56">
          <cell r="D56" t="str">
            <v>PFV LOS LOROS</v>
          </cell>
          <cell r="CD56">
            <v>58.793466696212718</v>
          </cell>
          <cell r="CE56">
            <v>98.698739826924182</v>
          </cell>
        </row>
        <row r="57">
          <cell r="D57" t="str">
            <v>PFV SAN PEDRO</v>
          </cell>
          <cell r="CD57">
            <v>56.184687451190754</v>
          </cell>
          <cell r="CE57">
            <v>51.658946411605257</v>
          </cell>
        </row>
        <row r="58">
          <cell r="D58" t="str">
            <v>PFV LA HUELLA</v>
          </cell>
          <cell r="CD58">
            <v>56.144466313767701</v>
          </cell>
          <cell r="CE58">
            <v>53.422824583531359</v>
          </cell>
        </row>
        <row r="59">
          <cell r="D59" t="str">
            <v>PFV CEME 1</v>
          </cell>
          <cell r="CD59">
            <v>54.991027424735762</v>
          </cell>
          <cell r="CE59">
            <v>54.991027424735762</v>
          </cell>
        </row>
        <row r="60">
          <cell r="D60" t="str">
            <v>PFV VALLE ESCONDIDO</v>
          </cell>
          <cell r="CD60">
            <v>53.365144868727548</v>
          </cell>
          <cell r="CE60">
            <v>48.561374555411653</v>
          </cell>
        </row>
        <row r="61">
          <cell r="D61" t="str">
            <v>PFV MALGARIDA</v>
          </cell>
          <cell r="CD61">
            <v>52.474910346048155</v>
          </cell>
          <cell r="CE61">
            <v>45.817189558298132</v>
          </cell>
        </row>
        <row r="62">
          <cell r="D62" t="str">
            <v>PFV SOL DEL DESIERTO</v>
          </cell>
          <cell r="CD62">
            <v>51.957857043217196</v>
          </cell>
          <cell r="CE62">
            <v>45.171683907763743</v>
          </cell>
        </row>
        <row r="63">
          <cell r="D63" t="str">
            <v>PFV TAMARICO</v>
          </cell>
          <cell r="CD63">
            <v>51.529372024830337</v>
          </cell>
          <cell r="CE63" t="str">
            <v>-</v>
          </cell>
        </row>
        <row r="64">
          <cell r="D64" t="str">
            <v>PFV HUATACONDO</v>
          </cell>
          <cell r="CD64">
            <v>50.304776192582921</v>
          </cell>
          <cell r="CE64">
            <v>60.987509864450338</v>
          </cell>
        </row>
        <row r="65">
          <cell r="D65" t="str">
            <v>PFV TAIRA</v>
          </cell>
          <cell r="CD65">
            <v>47.729667818285435</v>
          </cell>
          <cell r="CE65">
            <v>47.729667818285435</v>
          </cell>
        </row>
        <row r="66">
          <cell r="D66" t="str">
            <v>PFV LA CRUZ SOLAR</v>
          </cell>
          <cell r="CD66">
            <v>47.267385112566615</v>
          </cell>
          <cell r="CE66">
            <v>43.797716855137359</v>
          </cell>
        </row>
        <row r="67">
          <cell r="D67" t="str">
            <v>PFV MESETA DE LOS ANDES</v>
          </cell>
          <cell r="CD67">
            <v>46.921269641603153</v>
          </cell>
          <cell r="CE67">
            <v>53.406650841276864</v>
          </cell>
        </row>
        <row r="68">
          <cell r="D68" t="str">
            <v>PFV VALLE DEL SOL</v>
          </cell>
          <cell r="CD68">
            <v>46.780683612984056</v>
          </cell>
          <cell r="CE68">
            <v>45.575537933172924</v>
          </cell>
        </row>
        <row r="69">
          <cell r="D69" t="str">
            <v>PFV DIEGO DE ALMAGRO SUR</v>
          </cell>
          <cell r="CD69">
            <v>46.749751407992996</v>
          </cell>
          <cell r="CE69">
            <v>44.137096524689632</v>
          </cell>
        </row>
        <row r="70">
          <cell r="D70" t="str">
            <v>PFV PAMPA TIGRE</v>
          </cell>
          <cell r="CD70">
            <v>45.758832419612908</v>
          </cell>
          <cell r="CE70">
            <v>44.415675626314659</v>
          </cell>
        </row>
        <row r="71">
          <cell r="D71" t="str">
            <v>PFV ANDES SOLAR II-B</v>
          </cell>
          <cell r="CD71">
            <v>45.353967057396005</v>
          </cell>
          <cell r="CE71">
            <v>50.634977400775256</v>
          </cell>
        </row>
        <row r="72">
          <cell r="D72" t="str">
            <v>PFV LAS SALINAS</v>
          </cell>
          <cell r="CD72">
            <v>44.183957855804358</v>
          </cell>
          <cell r="CE72">
            <v>44.183957855804358</v>
          </cell>
        </row>
        <row r="73">
          <cell r="D73" t="str">
            <v>PFV CAMPOS DEL SOL</v>
          </cell>
          <cell r="CD73">
            <v>42.05189983405954</v>
          </cell>
          <cell r="CE73">
            <v>41.538774868871315</v>
          </cell>
        </row>
        <row r="74">
          <cell r="D74" t="str">
            <v>PFV CHERCAN SOLAR</v>
          </cell>
          <cell r="CD74">
            <v>41.377677526356848</v>
          </cell>
          <cell r="CE74">
            <v>41.055017791713098</v>
          </cell>
        </row>
        <row r="75">
          <cell r="D75" t="str">
            <v>PFV COYA</v>
          </cell>
          <cell r="CD75">
            <v>39.133131346412249</v>
          </cell>
          <cell r="CE75">
            <v>38.573698507744766</v>
          </cell>
        </row>
        <row r="76">
          <cell r="D76" t="str">
            <v>PFV MANZANO</v>
          </cell>
          <cell r="CD76">
            <v>37.517513914770269</v>
          </cell>
          <cell r="CE76">
            <v>37.517513914770269</v>
          </cell>
        </row>
        <row r="77">
          <cell r="D77" t="str">
            <v>PFV ANDES SOLAR IV</v>
          </cell>
          <cell r="CD77">
            <v>26.715633727325926</v>
          </cell>
          <cell r="CE77">
            <v>26.715633727325926</v>
          </cell>
        </row>
        <row r="78">
          <cell r="D78" t="str">
            <v>PFV TAMANGO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F62"/>
  <sheetViews>
    <sheetView tabSelected="1" workbookViewId="0">
      <selection activeCell="H59" sqref="H59"/>
    </sheetView>
  </sheetViews>
  <sheetFormatPr defaultRowHeight="14.4" x14ac:dyDescent="0.3"/>
  <cols>
    <col min="1" max="1" width="26.109375" bestFit="1" customWidth="1"/>
    <col min="2" max="2" width="14.5546875" customWidth="1"/>
    <col min="3" max="4" width="16.21875" customWidth="1"/>
    <col min="5" max="5" width="13" customWidth="1"/>
    <col min="6" max="6" width="14" customWidth="1"/>
  </cols>
  <sheetData>
    <row r="1" spans="1:6" ht="43.2" x14ac:dyDescent="0.3">
      <c r="A1" s="1" t="s">
        <v>61</v>
      </c>
      <c r="B1" s="5" t="s">
        <v>63</v>
      </c>
      <c r="C1" s="3" t="s">
        <v>62</v>
      </c>
      <c r="D1" s="7" t="s">
        <v>64</v>
      </c>
      <c r="E1" s="5" t="s">
        <v>65</v>
      </c>
      <c r="F1" s="5" t="s">
        <v>66</v>
      </c>
    </row>
    <row r="2" spans="1:6" x14ac:dyDescent="0.3">
      <c r="A2" t="s">
        <v>60</v>
      </c>
      <c r="B2">
        <f>_xlfn.XLOOKUP(A2,'[1]SCORE Técnico Promedio'!A$30:A$761,'[1]SCORE Técnico Promedio'!M$30:M$761,"---",0,1)</f>
        <v>10</v>
      </c>
      <c r="C2" s="4" t="str">
        <f>_xlfn.XLOOKUP(A2,'[1]PFV Proyecto Puro'!D$3:D$78,'[1]PFV Proyecto Puro'!CD$3:CD$78,"---",0,1)</f>
        <v>-</v>
      </c>
      <c r="D2" s="6" t="str">
        <f>_xlfn.XLOOKUP(A2,'[1]PFV Proyecto Puro'!D$3:D$78,'[1]PFV Proyecto Puro'!CE$3:CE$78,"---",0,1)</f>
        <v>-</v>
      </c>
      <c r="E2" t="str">
        <f>_xlfn.XLOOKUP(A2,'[1]SCORE comercial'!A$28:A$760,'[1]SCORE comercial'!H$28:H$760,"---",0,1)</f>
        <v>-</v>
      </c>
      <c r="F2" t="str">
        <f>_xlfn.XLOOKUP(A2,'[1]SCORE comercial'!A$28:A$760,'[1]SCORE comercial'!K$28:K$760,"---",0,1)</f>
        <v>-</v>
      </c>
    </row>
    <row r="3" spans="1:6" x14ac:dyDescent="0.3">
      <c r="A3" t="s">
        <v>58</v>
      </c>
      <c r="B3">
        <f>_xlfn.XLOOKUP(A3,'[1]SCORE Técnico Promedio'!A$30:A$761,'[1]SCORE Técnico Promedio'!M$30:M$761,"---",0,1)</f>
        <v>10</v>
      </c>
      <c r="C3" s="4" t="str">
        <f>_xlfn.XLOOKUP(A3,'[1]PFV Proyecto Puro'!D$3:D$78,'[1]PFV Proyecto Puro'!CD$3:CD$78,"---",0,1)</f>
        <v>-</v>
      </c>
      <c r="D3" s="6" t="str">
        <f>_xlfn.XLOOKUP(A3,'[1]PFV Proyecto Puro'!D$3:D$78,'[1]PFV Proyecto Puro'!CE$3:CE$78,"---",0,1)</f>
        <v>-</v>
      </c>
      <c r="E3" t="str">
        <f>_xlfn.XLOOKUP(A3,'[1]SCORE comercial'!A$28:A$760,'[1]SCORE comercial'!H$28:H$760,"---",0,1)</f>
        <v>-</v>
      </c>
      <c r="F3" t="str">
        <f>_xlfn.XLOOKUP(A3,'[1]SCORE comercial'!A$28:A$760,'[1]SCORE comercial'!K$28:K$760,"---",0,1)</f>
        <v>-</v>
      </c>
    </row>
    <row r="4" spans="1:6" x14ac:dyDescent="0.3">
      <c r="A4" t="s">
        <v>53</v>
      </c>
      <c r="B4">
        <f>_xlfn.XLOOKUP(A4,'[1]SCORE Técnico Promedio'!A$30:A$761,'[1]SCORE Técnico Promedio'!M$30:M$761,"---",0,1)</f>
        <v>26</v>
      </c>
      <c r="C4" s="4">
        <f>_xlfn.XLOOKUP(A4,'[1]PFV Proyecto Puro'!D$3:D$78,'[1]PFV Proyecto Puro'!CD$3:CD$78,"---",0,1)</f>
        <v>340.36306314953293</v>
      </c>
      <c r="D4" s="6">
        <f>_xlfn.XLOOKUP(A4,'[1]PFV Proyecto Puro'!D$3:D$78,'[1]PFV Proyecto Puro'!CE$3:CE$78,"---",0,1)</f>
        <v>340.36306314953293</v>
      </c>
      <c r="E4">
        <f>_xlfn.XLOOKUP(A4,'[1]SCORE comercial'!A$28:A$760,'[1]SCORE comercial'!H$28:H$760,"---",0,1)</f>
        <v>10</v>
      </c>
      <c r="F4">
        <f>_xlfn.XLOOKUP(A4,'[1]SCORE comercial'!A$28:A$760,'[1]SCORE comercial'!K$28:K$760,"---",0,1)</f>
        <v>10</v>
      </c>
    </row>
    <row r="5" spans="1:6" x14ac:dyDescent="0.3">
      <c r="A5" t="s">
        <v>27</v>
      </c>
      <c r="B5">
        <f>_xlfn.XLOOKUP(A5,'[1]SCORE Técnico Promedio'!A$30:A$761,'[1]SCORE Técnico Promedio'!M$30:M$761,"---",0,1)</f>
        <v>25</v>
      </c>
      <c r="C5" s="4">
        <f>_xlfn.XLOOKUP(A5,'[1]PFV Proyecto Puro'!D$3:D$78,'[1]PFV Proyecto Puro'!CD$3:CD$78,"---",0,1)</f>
        <v>261.63933396239332</v>
      </c>
      <c r="D5" s="6">
        <f>_xlfn.XLOOKUP(A5,'[1]PFV Proyecto Puro'!D$3:D$78,'[1]PFV Proyecto Puro'!CE$3:CE$78,"---",0,1)</f>
        <v>154.25090610149064</v>
      </c>
      <c r="E5">
        <f>_xlfn.XLOOKUP(A5,'[1]SCORE comercial'!A$28:A$760,'[1]SCORE comercial'!H$28:H$760,"---",0,1)</f>
        <v>10</v>
      </c>
      <c r="F5">
        <f>_xlfn.XLOOKUP(A5,'[1]SCORE comercial'!A$28:A$760,'[1]SCORE comercial'!K$28:K$760,"---",0,1)</f>
        <v>9</v>
      </c>
    </row>
    <row r="6" spans="1:6" x14ac:dyDescent="0.3">
      <c r="A6" t="s">
        <v>42</v>
      </c>
      <c r="B6">
        <f>_xlfn.XLOOKUP(A6,'[1]SCORE Técnico Promedio'!A$30:A$761,'[1]SCORE Técnico Promedio'!M$30:M$761,"---",0,1)</f>
        <v>27</v>
      </c>
      <c r="C6" s="4">
        <f>_xlfn.XLOOKUP(A6,'[1]PFV Proyecto Puro'!D$3:D$78,'[1]PFV Proyecto Puro'!CD$3:CD$78,"---",0,1)</f>
        <v>258.53120988875185</v>
      </c>
      <c r="D6" s="6">
        <f>_xlfn.XLOOKUP(A6,'[1]PFV Proyecto Puro'!D$3:D$78,'[1]PFV Proyecto Puro'!CE$3:CE$78,"---",0,1)</f>
        <v>116.69232684199737</v>
      </c>
      <c r="E6">
        <f>_xlfn.XLOOKUP(A6,'[1]SCORE comercial'!A$28:A$760,'[1]SCORE comercial'!H$28:H$760,"---",0,1)</f>
        <v>10</v>
      </c>
      <c r="F6">
        <f>_xlfn.XLOOKUP(A6,'[1]SCORE comercial'!A$28:A$760,'[1]SCORE comercial'!K$28:K$760,"---",0,1)</f>
        <v>7</v>
      </c>
    </row>
    <row r="7" spans="1:6" x14ac:dyDescent="0.3">
      <c r="A7" t="s">
        <v>52</v>
      </c>
      <c r="B7">
        <f>_xlfn.XLOOKUP(A7,'[1]SCORE Técnico Promedio'!A$30:A$761,'[1]SCORE Técnico Promedio'!M$30:M$761,"---",0,1)</f>
        <v>37</v>
      </c>
      <c r="C7" s="4">
        <f>_xlfn.XLOOKUP(A7,'[1]PFV Proyecto Puro'!D$3:D$78,'[1]PFV Proyecto Puro'!CD$3:CD$78,"---",0,1)</f>
        <v>225.14796721950631</v>
      </c>
      <c r="D7" s="6">
        <f>_xlfn.XLOOKUP(A7,'[1]PFV Proyecto Puro'!D$3:D$78,'[1]PFV Proyecto Puro'!CE$3:CE$78,"---",0,1)</f>
        <v>225.14796721950631</v>
      </c>
      <c r="E7">
        <f>_xlfn.XLOOKUP(A7,'[1]SCORE comercial'!A$28:A$760,'[1]SCORE comercial'!H$28:H$760,"---",0,1)</f>
        <v>10</v>
      </c>
      <c r="F7">
        <f>_xlfn.XLOOKUP(A7,'[1]SCORE comercial'!A$28:A$760,'[1]SCORE comercial'!K$28:K$760,"---",0,1)</f>
        <v>10</v>
      </c>
    </row>
    <row r="8" spans="1:6" x14ac:dyDescent="0.3">
      <c r="A8" t="s">
        <v>2</v>
      </c>
      <c r="B8">
        <f>_xlfn.XLOOKUP(A8,'[1]SCORE Técnico Promedio'!A$30:A$761,'[1]SCORE Técnico Promedio'!M$30:M$761,"---",0,1)</f>
        <v>29</v>
      </c>
      <c r="C8" s="4">
        <f>_xlfn.XLOOKUP(A8,'[1]PFV Proyecto Puro'!D$3:D$78,'[1]PFV Proyecto Puro'!CD$3:CD$78,"---",0,1)</f>
        <v>212.91676434569115</v>
      </c>
      <c r="D8" s="6">
        <f>_xlfn.XLOOKUP(A8,'[1]PFV Proyecto Puro'!D$3:D$78,'[1]PFV Proyecto Puro'!CE$3:CE$78,"---",0,1)</f>
        <v>190.90031470068843</v>
      </c>
      <c r="E8">
        <f>_xlfn.XLOOKUP(A8,'[1]SCORE comercial'!A$28:A$760,'[1]SCORE comercial'!H$28:H$760,"---",0,1)</f>
        <v>10</v>
      </c>
      <c r="F8">
        <f>_xlfn.XLOOKUP(A8,'[1]SCORE comercial'!A$28:A$760,'[1]SCORE comercial'!K$28:K$760,"---",0,1)</f>
        <v>10</v>
      </c>
    </row>
    <row r="9" spans="1:6" x14ac:dyDescent="0.3">
      <c r="A9" t="s">
        <v>19</v>
      </c>
      <c r="B9">
        <f>_xlfn.XLOOKUP(A9,'[1]SCORE Técnico Promedio'!A$30:A$761,'[1]SCORE Técnico Promedio'!M$30:M$761,"---",0,1)</f>
        <v>27</v>
      </c>
      <c r="C9" s="4">
        <f>_xlfn.XLOOKUP(A9,'[1]PFV Proyecto Puro'!D$3:D$78,'[1]PFV Proyecto Puro'!CD$3:CD$78,"---",0,1)</f>
        <v>184.07262385643253</v>
      </c>
      <c r="D9" s="6">
        <f>_xlfn.XLOOKUP(A9,'[1]PFV Proyecto Puro'!D$3:D$78,'[1]PFV Proyecto Puro'!CE$3:CE$78,"---",0,1)</f>
        <v>173.34955912683731</v>
      </c>
      <c r="E9">
        <f>_xlfn.XLOOKUP(A9,'[1]SCORE comercial'!A$28:A$760,'[1]SCORE comercial'!H$28:H$760,"---",0,1)</f>
        <v>10</v>
      </c>
      <c r="F9">
        <f>_xlfn.XLOOKUP(A9,'[1]SCORE comercial'!A$28:A$760,'[1]SCORE comercial'!K$28:K$760,"---",0,1)</f>
        <v>10</v>
      </c>
    </row>
    <row r="10" spans="1:6" x14ac:dyDescent="0.3">
      <c r="A10" t="s">
        <v>17</v>
      </c>
      <c r="B10">
        <f>_xlfn.XLOOKUP(A10,'[1]SCORE Técnico Promedio'!A$30:A$761,'[1]SCORE Técnico Promedio'!M$30:M$761,"---",0,1)</f>
        <v>31</v>
      </c>
      <c r="C10" s="4">
        <f>_xlfn.XLOOKUP(A10,'[1]PFV Proyecto Puro'!D$3:D$78,'[1]PFV Proyecto Puro'!CD$3:CD$78,"---",0,1)</f>
        <v>182.41667069729561</v>
      </c>
      <c r="D10" s="6">
        <f>_xlfn.XLOOKUP(A10,'[1]PFV Proyecto Puro'!D$3:D$78,'[1]PFV Proyecto Puro'!CE$3:CE$78,"---",0,1)</f>
        <v>145.62272360314196</v>
      </c>
      <c r="E10">
        <f>_xlfn.XLOOKUP(A10,'[1]SCORE comercial'!A$28:A$760,'[1]SCORE comercial'!H$28:H$760,"---",0,1)</f>
        <v>10</v>
      </c>
      <c r="F10">
        <f>_xlfn.XLOOKUP(A10,'[1]SCORE comercial'!A$28:A$760,'[1]SCORE comercial'!K$28:K$760,"---",0,1)</f>
        <v>9</v>
      </c>
    </row>
    <row r="11" spans="1:6" x14ac:dyDescent="0.3">
      <c r="A11" t="s">
        <v>4</v>
      </c>
      <c r="B11">
        <f>_xlfn.XLOOKUP(A11,'[1]SCORE Técnico Promedio'!A$30:A$761,'[1]SCORE Técnico Promedio'!M$30:M$761,"---",0,1)</f>
        <v>28</v>
      </c>
      <c r="C11" s="4">
        <f>_xlfn.XLOOKUP(A11,'[1]PFV Proyecto Puro'!D$3:D$78,'[1]PFV Proyecto Puro'!CD$3:CD$78,"---",0,1)</f>
        <v>178.3717745686545</v>
      </c>
      <c r="D11" s="6">
        <f>_xlfn.XLOOKUP(A11,'[1]PFV Proyecto Puro'!D$3:D$78,'[1]PFV Proyecto Puro'!CE$3:CE$78,"---",0,1)</f>
        <v>160.32307404988748</v>
      </c>
      <c r="E11">
        <f>_xlfn.XLOOKUP(A11,'[1]SCORE comercial'!A$28:A$760,'[1]SCORE comercial'!H$28:H$760,"---",0,1)</f>
        <v>10</v>
      </c>
      <c r="F11">
        <f>_xlfn.XLOOKUP(A11,'[1]SCORE comercial'!A$28:A$760,'[1]SCORE comercial'!K$28:K$760,"---",0,1)</f>
        <v>9</v>
      </c>
    </row>
    <row r="12" spans="1:6" x14ac:dyDescent="0.3">
      <c r="A12" t="s">
        <v>15</v>
      </c>
      <c r="B12">
        <f>_xlfn.XLOOKUP(A12,'[1]SCORE Técnico Promedio'!A$30:A$761,'[1]SCORE Técnico Promedio'!M$30:M$761,"---",0,1)</f>
        <v>28</v>
      </c>
      <c r="C12" s="4">
        <f>_xlfn.XLOOKUP(A12,'[1]PFV Proyecto Puro'!D$3:D$78,'[1]PFV Proyecto Puro'!CD$3:CD$78,"---",0,1)</f>
        <v>165.40925469740816</v>
      </c>
      <c r="D12" s="6">
        <f>_xlfn.XLOOKUP(A12,'[1]PFV Proyecto Puro'!D$3:D$78,'[1]PFV Proyecto Puro'!CE$3:CE$78,"---",0,1)</f>
        <v>164.3939197409471</v>
      </c>
      <c r="E12">
        <f>_xlfn.XLOOKUP(A12,'[1]SCORE comercial'!A$28:A$760,'[1]SCORE comercial'!H$28:H$760,"---",0,1)</f>
        <v>9</v>
      </c>
      <c r="F12">
        <f>_xlfn.XLOOKUP(A12,'[1]SCORE comercial'!A$28:A$760,'[1]SCORE comercial'!K$28:K$760,"---",0,1)</f>
        <v>10</v>
      </c>
    </row>
    <row r="13" spans="1:6" x14ac:dyDescent="0.3">
      <c r="A13" t="s">
        <v>10</v>
      </c>
      <c r="B13">
        <f>_xlfn.XLOOKUP(A13,'[1]SCORE Técnico Promedio'!A$30:A$761,'[1]SCORE Técnico Promedio'!M$30:M$761,"---",0,1)</f>
        <v>25</v>
      </c>
      <c r="C13" s="4">
        <f>_xlfn.XLOOKUP(A13,'[1]PFV Proyecto Puro'!D$3:D$78,'[1]PFV Proyecto Puro'!CD$3:CD$78,"---",0,1)</f>
        <v>159.96688852477408</v>
      </c>
      <c r="D13" s="6">
        <f>_xlfn.XLOOKUP(A13,'[1]PFV Proyecto Puro'!D$3:D$78,'[1]PFV Proyecto Puro'!CE$3:CE$78,"---",0,1)</f>
        <v>150.66054694362239</v>
      </c>
      <c r="E13">
        <f>_xlfn.XLOOKUP(A13,'[1]SCORE comercial'!A$28:A$760,'[1]SCORE comercial'!H$28:H$760,"---",0,1)</f>
        <v>9</v>
      </c>
      <c r="F13">
        <f>_xlfn.XLOOKUP(A13,'[1]SCORE comercial'!A$28:A$760,'[1]SCORE comercial'!K$28:K$760,"---",0,1)</f>
        <v>9</v>
      </c>
    </row>
    <row r="14" spans="1:6" x14ac:dyDescent="0.3">
      <c r="A14" t="s">
        <v>9</v>
      </c>
      <c r="B14">
        <f>_xlfn.XLOOKUP(A14,'[1]SCORE Técnico Promedio'!A$30:A$761,'[1]SCORE Técnico Promedio'!M$30:M$761,"---",0,1)</f>
        <v>25</v>
      </c>
      <c r="C14" s="4">
        <f>_xlfn.XLOOKUP(A14,'[1]PFV Proyecto Puro'!D$3:D$78,'[1]PFV Proyecto Puro'!CD$3:CD$78,"---",0,1)</f>
        <v>155.50186037465843</v>
      </c>
      <c r="D14" s="6">
        <f>_xlfn.XLOOKUP(A14,'[1]PFV Proyecto Puro'!D$3:D$78,'[1]PFV Proyecto Puro'!CE$3:CE$78,"---",0,1)</f>
        <v>131.2541894992178</v>
      </c>
      <c r="E14">
        <f>_xlfn.XLOOKUP(A14,'[1]SCORE comercial'!A$28:A$760,'[1]SCORE comercial'!H$28:H$760,"---",0,1)</f>
        <v>9</v>
      </c>
      <c r="F14">
        <f>_xlfn.XLOOKUP(A14,'[1]SCORE comercial'!A$28:A$760,'[1]SCORE comercial'!K$28:K$760,"---",0,1)</f>
        <v>8</v>
      </c>
    </row>
    <row r="15" spans="1:6" x14ac:dyDescent="0.3">
      <c r="A15" t="s">
        <v>6</v>
      </c>
      <c r="B15">
        <f>_xlfn.XLOOKUP(A15,'[1]SCORE Técnico Promedio'!A$30:A$761,'[1]SCORE Técnico Promedio'!M$30:M$761,"---",0,1)</f>
        <v>23</v>
      </c>
      <c r="C15" s="4">
        <f>_xlfn.XLOOKUP(A15,'[1]PFV Proyecto Puro'!D$3:D$78,'[1]PFV Proyecto Puro'!CD$3:CD$78,"---",0,1)</f>
        <v>151.54931562087606</v>
      </c>
      <c r="D15" s="6">
        <f>_xlfn.XLOOKUP(A15,'[1]PFV Proyecto Puro'!D$3:D$78,'[1]PFV Proyecto Puro'!CE$3:CE$78,"---",0,1)</f>
        <v>153.36115611189666</v>
      </c>
      <c r="E15">
        <f>_xlfn.XLOOKUP(A15,'[1]SCORE comercial'!A$28:A$760,'[1]SCORE comercial'!H$28:H$760,"---",0,1)</f>
        <v>9</v>
      </c>
      <c r="F15">
        <f>_xlfn.XLOOKUP(A15,'[1]SCORE comercial'!A$28:A$760,'[1]SCORE comercial'!K$28:K$760,"---",0,1)</f>
        <v>9</v>
      </c>
    </row>
    <row r="16" spans="1:6" x14ac:dyDescent="0.3">
      <c r="A16" t="s">
        <v>18</v>
      </c>
      <c r="B16">
        <f>_xlfn.XLOOKUP(A16,'[1]SCORE Técnico Promedio'!A$30:A$761,'[1]SCORE Técnico Promedio'!M$30:M$761,"---",0,1)</f>
        <v>25</v>
      </c>
      <c r="C16" s="4">
        <f>_xlfn.XLOOKUP(A16,'[1]PFV Proyecto Puro'!D$3:D$78,'[1]PFV Proyecto Puro'!CD$3:CD$78,"---",0,1)</f>
        <v>150.53150087405055</v>
      </c>
      <c r="D16" s="6">
        <f>_xlfn.XLOOKUP(A16,'[1]PFV Proyecto Puro'!D$3:D$78,'[1]PFV Proyecto Puro'!CE$3:CE$78,"---",0,1)</f>
        <v>126.29025312310564</v>
      </c>
      <c r="E16">
        <f>_xlfn.XLOOKUP(A16,'[1]SCORE comercial'!A$28:A$760,'[1]SCORE comercial'!H$28:H$760,"---",0,1)</f>
        <v>9</v>
      </c>
      <c r="F16">
        <f>_xlfn.XLOOKUP(A16,'[1]SCORE comercial'!A$28:A$760,'[1]SCORE comercial'!K$28:K$760,"---",0,1)</f>
        <v>8</v>
      </c>
    </row>
    <row r="17" spans="1:6" x14ac:dyDescent="0.3">
      <c r="A17" t="s">
        <v>0</v>
      </c>
      <c r="B17">
        <f>_xlfn.XLOOKUP(A17,'[1]SCORE Técnico Promedio'!A$30:A$761,'[1]SCORE Técnico Promedio'!M$30:M$761,"---",0,1)</f>
        <v>22</v>
      </c>
      <c r="C17" s="4">
        <f>_xlfn.XLOOKUP(A17,'[1]PFV Proyecto Puro'!D$3:D$78,'[1]PFV Proyecto Puro'!CD$3:CD$78,"---",0,1)</f>
        <v>147.10751532332384</v>
      </c>
      <c r="D17" s="6">
        <f>_xlfn.XLOOKUP(A17,'[1]PFV Proyecto Puro'!D$3:D$78,'[1]PFV Proyecto Puro'!CE$3:CE$78,"---",0,1)</f>
        <v>142.61474714826912</v>
      </c>
      <c r="E17">
        <f>_xlfn.XLOOKUP(A17,'[1]SCORE comercial'!A$28:A$760,'[1]SCORE comercial'!H$28:H$760,"---",0,1)</f>
        <v>9</v>
      </c>
      <c r="F17">
        <f>_xlfn.XLOOKUP(A17,'[1]SCORE comercial'!A$28:A$760,'[1]SCORE comercial'!K$28:K$760,"---",0,1)</f>
        <v>9</v>
      </c>
    </row>
    <row r="18" spans="1:6" x14ac:dyDescent="0.3">
      <c r="A18" t="s">
        <v>3</v>
      </c>
      <c r="B18">
        <f>_xlfn.XLOOKUP(A18,'[1]SCORE Técnico Promedio'!A$30:A$761,'[1]SCORE Técnico Promedio'!M$30:M$761,"---",0,1)</f>
        <v>21</v>
      </c>
      <c r="C18" s="4">
        <f>_xlfn.XLOOKUP(A18,'[1]PFV Proyecto Puro'!D$3:D$78,'[1]PFV Proyecto Puro'!CD$3:CD$78,"---",0,1)</f>
        <v>143.37493574349742</v>
      </c>
      <c r="D18" s="6">
        <f>_xlfn.XLOOKUP(A18,'[1]PFV Proyecto Puro'!D$3:D$78,'[1]PFV Proyecto Puro'!CE$3:CE$78,"---",0,1)</f>
        <v>133.7946701446663</v>
      </c>
      <c r="E18">
        <f>_xlfn.XLOOKUP(A18,'[1]SCORE comercial'!A$28:A$760,'[1]SCORE comercial'!H$28:H$760,"---",0,1)</f>
        <v>8</v>
      </c>
      <c r="F18">
        <f>_xlfn.XLOOKUP(A18,'[1]SCORE comercial'!A$28:A$760,'[1]SCORE comercial'!K$28:K$760,"---",0,1)</f>
        <v>8</v>
      </c>
    </row>
    <row r="19" spans="1:6" x14ac:dyDescent="0.3">
      <c r="A19" t="s">
        <v>16</v>
      </c>
      <c r="B19">
        <f>_xlfn.XLOOKUP(A19,'[1]SCORE Técnico Promedio'!A$30:A$761,'[1]SCORE Técnico Promedio'!M$30:M$761,"---",0,1)</f>
        <v>24</v>
      </c>
      <c r="C19" s="4">
        <f>_xlfn.XLOOKUP(A19,'[1]PFV Proyecto Puro'!D$3:D$78,'[1]PFV Proyecto Puro'!CD$3:CD$78,"---",0,1)</f>
        <v>137.30925624718762</v>
      </c>
      <c r="D19" s="6">
        <f>_xlfn.XLOOKUP(A19,'[1]PFV Proyecto Puro'!D$3:D$78,'[1]PFV Proyecto Puro'!CE$3:CE$78,"---",0,1)</f>
        <v>123.4689482698556</v>
      </c>
      <c r="E19">
        <f>_xlfn.XLOOKUP(A19,'[1]SCORE comercial'!A$28:A$760,'[1]SCORE comercial'!H$28:H$760,"---",0,1)</f>
        <v>8</v>
      </c>
      <c r="F19">
        <f>_xlfn.XLOOKUP(A19,'[1]SCORE comercial'!A$28:A$760,'[1]SCORE comercial'!K$28:K$760,"---",0,1)</f>
        <v>8</v>
      </c>
    </row>
    <row r="20" spans="1:6" x14ac:dyDescent="0.3">
      <c r="A20" t="s">
        <v>7</v>
      </c>
      <c r="B20">
        <f>_xlfn.XLOOKUP(A20,'[1]SCORE Técnico Promedio'!A$30:A$761,'[1]SCORE Técnico Promedio'!M$30:M$761,"---",0,1)</f>
        <v>30</v>
      </c>
      <c r="C20" s="4">
        <f>_xlfn.XLOOKUP(A20,'[1]PFV Proyecto Puro'!D$3:D$78,'[1]PFV Proyecto Puro'!CD$3:CD$78,"---",0,1)</f>
        <v>134.08829640288874</v>
      </c>
      <c r="D20" s="6">
        <f>_xlfn.XLOOKUP(A20,'[1]PFV Proyecto Puro'!D$3:D$78,'[1]PFV Proyecto Puro'!CE$3:CE$78,"---",0,1)</f>
        <v>118.82812570112476</v>
      </c>
      <c r="E20">
        <f>_xlfn.XLOOKUP(A20,'[1]SCORE comercial'!A$28:A$760,'[1]SCORE comercial'!H$28:H$760,"---",0,1)</f>
        <v>8</v>
      </c>
      <c r="F20">
        <f>_xlfn.XLOOKUP(A20,'[1]SCORE comercial'!A$28:A$760,'[1]SCORE comercial'!K$28:K$760,"---",0,1)</f>
        <v>7</v>
      </c>
    </row>
    <row r="21" spans="1:6" x14ac:dyDescent="0.3">
      <c r="A21" t="s">
        <v>57</v>
      </c>
      <c r="B21">
        <f>_xlfn.XLOOKUP(A21,'[1]SCORE Técnico Promedio'!A$30:A$761,'[1]SCORE Técnico Promedio'!M$30:M$761,"---",0,1)</f>
        <v>28</v>
      </c>
      <c r="C21" s="4">
        <f>_xlfn.XLOOKUP(A21,'[1]PFV Proyecto Puro'!D$3:D$78,'[1]PFV Proyecto Puro'!CD$3:CD$78,"---",0,1)</f>
        <v>130.48572110243344</v>
      </c>
      <c r="D21" s="6">
        <f>_xlfn.XLOOKUP(A21,'[1]PFV Proyecto Puro'!D$3:D$78,'[1]PFV Proyecto Puro'!CE$3:CE$78,"---",0,1)</f>
        <v>130.48572110243344</v>
      </c>
      <c r="E21">
        <f>_xlfn.XLOOKUP(A21,'[1]SCORE comercial'!A$28:A$760,'[1]SCORE comercial'!H$28:H$760,"---",0,1)</f>
        <v>8</v>
      </c>
      <c r="F21">
        <f>_xlfn.XLOOKUP(A21,'[1]SCORE comercial'!A$28:A$760,'[1]SCORE comercial'!K$28:K$760,"---",0,1)</f>
        <v>8</v>
      </c>
    </row>
    <row r="22" spans="1:6" x14ac:dyDescent="0.3">
      <c r="A22" t="s">
        <v>8</v>
      </c>
      <c r="B22">
        <f>_xlfn.XLOOKUP(A22,'[1]SCORE Técnico Promedio'!A$30:A$761,'[1]SCORE Técnico Promedio'!M$30:M$761,"---",0,1)</f>
        <v>25</v>
      </c>
      <c r="C22" s="4">
        <f>_xlfn.XLOOKUP(A22,'[1]PFV Proyecto Puro'!D$3:D$78,'[1]PFV Proyecto Puro'!CD$3:CD$78,"---",0,1)</f>
        <v>127.45927135686706</v>
      </c>
      <c r="D22" s="6">
        <f>_xlfn.XLOOKUP(A22,'[1]PFV Proyecto Puro'!D$3:D$78,'[1]PFV Proyecto Puro'!CE$3:CE$78,"---",0,1)</f>
        <v>117.55952975574159</v>
      </c>
      <c r="E22">
        <f>_xlfn.XLOOKUP(A22,'[1]SCORE comercial'!A$28:A$760,'[1]SCORE comercial'!H$28:H$760,"---",0,1)</f>
        <v>8</v>
      </c>
      <c r="F22">
        <f>_xlfn.XLOOKUP(A22,'[1]SCORE comercial'!A$28:A$760,'[1]SCORE comercial'!K$28:K$760,"---",0,1)</f>
        <v>7</v>
      </c>
    </row>
    <row r="23" spans="1:6" x14ac:dyDescent="0.3">
      <c r="A23" t="s">
        <v>36</v>
      </c>
      <c r="B23">
        <f>_xlfn.XLOOKUP(A23,'[1]SCORE Técnico Promedio'!A$30:A$761,'[1]SCORE Técnico Promedio'!M$30:M$761,"---",0,1)</f>
        <v>29</v>
      </c>
      <c r="C23" s="4">
        <f>_xlfn.XLOOKUP(A23,'[1]PFV Proyecto Puro'!D$3:D$78,'[1]PFV Proyecto Puro'!CD$3:CD$78,"---",0,1)</f>
        <v>120.86019668952748</v>
      </c>
      <c r="D23" s="6">
        <f>_xlfn.XLOOKUP(A23,'[1]PFV Proyecto Puro'!D$3:D$78,'[1]PFV Proyecto Puro'!CE$3:CE$78,"---",0,1)</f>
        <v>77.673577614814533</v>
      </c>
      <c r="E23">
        <f>_xlfn.XLOOKUP(A23,'[1]SCORE comercial'!A$28:A$760,'[1]SCORE comercial'!H$28:H$760,"---",0,1)</f>
        <v>8</v>
      </c>
      <c r="F23">
        <f>_xlfn.XLOOKUP(A23,'[1]SCORE comercial'!A$28:A$760,'[1]SCORE comercial'!K$28:K$760,"---",0,1)</f>
        <v>6</v>
      </c>
    </row>
    <row r="24" spans="1:6" x14ac:dyDescent="0.3">
      <c r="A24" t="s">
        <v>14</v>
      </c>
      <c r="B24">
        <f>_xlfn.XLOOKUP(A24,'[1]SCORE Técnico Promedio'!A$30:A$761,'[1]SCORE Técnico Promedio'!M$30:M$761,"---",0,1)</f>
        <v>21</v>
      </c>
      <c r="C24" s="4">
        <f>_xlfn.XLOOKUP(A24,'[1]PFV Proyecto Puro'!D$3:D$78,'[1]PFV Proyecto Puro'!CD$3:CD$78,"---",0,1)</f>
        <v>117.00468059513956</v>
      </c>
      <c r="D24" s="6">
        <f>_xlfn.XLOOKUP(A24,'[1]PFV Proyecto Puro'!D$3:D$78,'[1]PFV Proyecto Puro'!CE$3:CE$78,"---",0,1)</f>
        <v>107.06022465930636</v>
      </c>
      <c r="E24">
        <f>_xlfn.XLOOKUP(A24,'[1]SCORE comercial'!A$28:A$760,'[1]SCORE comercial'!H$28:H$760,"---",0,1)</f>
        <v>7</v>
      </c>
      <c r="F24">
        <f>_xlfn.XLOOKUP(A24,'[1]SCORE comercial'!A$28:A$760,'[1]SCORE comercial'!K$28:K$760,"---",0,1)</f>
        <v>7</v>
      </c>
    </row>
    <row r="25" spans="1:6" x14ac:dyDescent="0.3">
      <c r="A25" t="s">
        <v>26</v>
      </c>
      <c r="B25">
        <f>_xlfn.XLOOKUP(A25,'[1]SCORE Técnico Promedio'!A$30:A$761,'[1]SCORE Técnico Promedio'!M$30:M$761,"---",0,1)</f>
        <v>23</v>
      </c>
      <c r="C25" s="4">
        <f>_xlfn.XLOOKUP(A25,'[1]PFV Proyecto Puro'!D$3:D$78,'[1]PFV Proyecto Puro'!CD$3:CD$78,"---",0,1)</f>
        <v>115.95328370578751</v>
      </c>
      <c r="D25" s="6">
        <f>_xlfn.XLOOKUP(A25,'[1]PFV Proyecto Puro'!D$3:D$78,'[1]PFV Proyecto Puro'!CE$3:CE$78,"---",0,1)</f>
        <v>73.249911595920381</v>
      </c>
      <c r="E25">
        <f>_xlfn.XLOOKUP(A25,'[1]SCORE comercial'!A$28:A$760,'[1]SCORE comercial'!H$28:H$760,"---",0,1)</f>
        <v>7</v>
      </c>
      <c r="F25">
        <f>_xlfn.XLOOKUP(A25,'[1]SCORE comercial'!A$28:A$760,'[1]SCORE comercial'!K$28:K$760,"---",0,1)</f>
        <v>5</v>
      </c>
    </row>
    <row r="26" spans="1:6" x14ac:dyDescent="0.3">
      <c r="A26" t="s">
        <v>47</v>
      </c>
      <c r="B26">
        <f>_xlfn.XLOOKUP(A26,'[1]SCORE Técnico Promedio'!A$30:A$761,'[1]SCORE Técnico Promedio'!M$30:M$761,"---",0,1)</f>
        <v>22</v>
      </c>
      <c r="C26" s="4">
        <f>_xlfn.XLOOKUP(A26,'[1]PFV Proyecto Puro'!D$3:D$78,'[1]PFV Proyecto Puro'!CD$3:CD$78,"---",0,1)</f>
        <v>113.47776926480164</v>
      </c>
      <c r="D26" s="6">
        <f>_xlfn.XLOOKUP(A26,'[1]PFV Proyecto Puro'!D$3:D$78,'[1]PFV Proyecto Puro'!CE$3:CE$78,"---",0,1)</f>
        <v>77.517731576601136</v>
      </c>
      <c r="E26">
        <f>_xlfn.XLOOKUP(A26,'[1]SCORE comercial'!A$28:A$760,'[1]SCORE comercial'!H$28:H$760,"---",0,1)</f>
        <v>7</v>
      </c>
      <c r="F26">
        <f>_xlfn.XLOOKUP(A26,'[1]SCORE comercial'!A$28:A$760,'[1]SCORE comercial'!K$28:K$760,"---",0,1)</f>
        <v>5</v>
      </c>
    </row>
    <row r="27" spans="1:6" x14ac:dyDescent="0.3">
      <c r="A27" t="s">
        <v>13</v>
      </c>
      <c r="B27">
        <f>_xlfn.XLOOKUP(A27,'[1]SCORE Técnico Promedio'!A$30:A$761,'[1]SCORE Técnico Promedio'!M$30:M$761,"---",0,1)</f>
        <v>23</v>
      </c>
      <c r="C27" s="4">
        <f>_xlfn.XLOOKUP(A27,'[1]PFV Proyecto Puro'!D$3:D$78,'[1]PFV Proyecto Puro'!CD$3:CD$78,"---",0,1)</f>
        <v>106.19134821796176</v>
      </c>
      <c r="D27" s="6">
        <f>_xlfn.XLOOKUP(A27,'[1]PFV Proyecto Puro'!D$3:D$78,'[1]PFV Proyecto Puro'!CE$3:CE$78,"---",0,1)</f>
        <v>106.46671004953231</v>
      </c>
      <c r="E27">
        <f>_xlfn.XLOOKUP(A27,'[1]SCORE comercial'!A$28:A$760,'[1]SCORE comercial'!H$28:H$760,"---",0,1)</f>
        <v>7</v>
      </c>
      <c r="F27">
        <f>_xlfn.XLOOKUP(A27,'[1]SCORE comercial'!A$28:A$760,'[1]SCORE comercial'!K$28:K$760,"---",0,1)</f>
        <v>7</v>
      </c>
    </row>
    <row r="28" spans="1:6" x14ac:dyDescent="0.3">
      <c r="A28" t="s">
        <v>29</v>
      </c>
      <c r="B28">
        <f>_xlfn.XLOOKUP(A28,'[1]SCORE Técnico Promedio'!A$30:A$761,'[1]SCORE Técnico Promedio'!M$30:M$761,"---",0,1)</f>
        <v>23</v>
      </c>
      <c r="C28" s="4">
        <f>_xlfn.XLOOKUP(A28,'[1]PFV Proyecto Puro'!D$3:D$78,'[1]PFV Proyecto Puro'!CD$3:CD$78,"---",0,1)</f>
        <v>101.99069847540675</v>
      </c>
      <c r="D28" s="6">
        <f>_xlfn.XLOOKUP(A28,'[1]PFV Proyecto Puro'!D$3:D$78,'[1]PFV Proyecto Puro'!CE$3:CE$78,"---",0,1)</f>
        <v>71.964555409210689</v>
      </c>
      <c r="E28">
        <f>_xlfn.XLOOKUP(A28,'[1]SCORE comercial'!A$28:A$760,'[1]SCORE comercial'!H$28:H$760,"---",0,1)</f>
        <v>7</v>
      </c>
      <c r="F28">
        <f>_xlfn.XLOOKUP(A28,'[1]SCORE comercial'!A$28:A$760,'[1]SCORE comercial'!K$28:K$760,"---",0,1)</f>
        <v>5</v>
      </c>
    </row>
    <row r="29" spans="1:6" x14ac:dyDescent="0.3">
      <c r="A29" t="s">
        <v>12</v>
      </c>
      <c r="B29">
        <f>_xlfn.XLOOKUP(A29,'[1]SCORE Técnico Promedio'!A$30:A$761,'[1]SCORE Técnico Promedio'!M$30:M$761,"---",0,1)</f>
        <v>18</v>
      </c>
      <c r="C29" s="4">
        <f>_xlfn.XLOOKUP(A29,'[1]PFV Proyecto Puro'!D$3:D$78,'[1]PFV Proyecto Puro'!CD$3:CD$78,"---",0,1)</f>
        <v>97.844422713934776</v>
      </c>
      <c r="D29" s="6">
        <f>_xlfn.XLOOKUP(A29,'[1]PFV Proyecto Puro'!D$3:D$78,'[1]PFV Proyecto Puro'!CE$3:CE$78,"---",0,1)</f>
        <v>97.238183111387499</v>
      </c>
      <c r="E29">
        <f>_xlfn.XLOOKUP(A29,'[1]SCORE comercial'!A$28:A$760,'[1]SCORE comercial'!H$28:H$760,"---",0,1)</f>
        <v>6</v>
      </c>
      <c r="F29">
        <f>_xlfn.XLOOKUP(A29,'[1]SCORE comercial'!A$28:A$760,'[1]SCORE comercial'!K$28:K$760,"---",0,1)</f>
        <v>6</v>
      </c>
    </row>
    <row r="30" spans="1:6" x14ac:dyDescent="0.3">
      <c r="A30" t="s">
        <v>39</v>
      </c>
      <c r="B30">
        <f>_xlfn.XLOOKUP(A30,'[1]SCORE Técnico Promedio'!A$30:A$761,'[1]SCORE Técnico Promedio'!M$30:M$761,"---",0,1)</f>
        <v>21</v>
      </c>
      <c r="C30" s="4">
        <f>_xlfn.XLOOKUP(A30,'[1]PFV Proyecto Puro'!D$3:D$78,'[1]PFV Proyecto Puro'!CD$3:CD$78,"---",0,1)</f>
        <v>96.151671241546708</v>
      </c>
      <c r="D30" s="6">
        <f>_xlfn.XLOOKUP(A30,'[1]PFV Proyecto Puro'!D$3:D$78,'[1]PFV Proyecto Puro'!CE$3:CE$78,"---",0,1)</f>
        <v>63.301005566807682</v>
      </c>
      <c r="E30">
        <f>_xlfn.XLOOKUP(A30,'[1]SCORE comercial'!A$28:A$760,'[1]SCORE comercial'!H$28:H$760,"---",0,1)</f>
        <v>6</v>
      </c>
      <c r="F30">
        <f>_xlfn.XLOOKUP(A30,'[1]SCORE comercial'!A$28:A$760,'[1]SCORE comercial'!K$28:K$760,"---",0,1)</f>
        <v>5</v>
      </c>
    </row>
    <row r="31" spans="1:6" x14ac:dyDescent="0.3">
      <c r="A31" t="s">
        <v>22</v>
      </c>
      <c r="B31">
        <f>_xlfn.XLOOKUP(A31,'[1]SCORE Técnico Promedio'!A$30:A$761,'[1]SCORE Técnico Promedio'!M$30:M$761,"---",0,1)</f>
        <v>24</v>
      </c>
      <c r="C31" s="4">
        <f>_xlfn.XLOOKUP(A31,'[1]PFV Proyecto Puro'!D$3:D$78,'[1]PFV Proyecto Puro'!CD$3:CD$78,"---",0,1)</f>
        <v>95.498581478081192</v>
      </c>
      <c r="D31" s="6">
        <f>_xlfn.XLOOKUP(A31,'[1]PFV Proyecto Puro'!D$3:D$78,'[1]PFV Proyecto Puro'!CE$3:CE$78,"---",0,1)</f>
        <v>91.571363913723303</v>
      </c>
      <c r="E31">
        <f>_xlfn.XLOOKUP(A31,'[1]SCORE comercial'!A$28:A$760,'[1]SCORE comercial'!H$28:H$760,"---",0,1)</f>
        <v>6</v>
      </c>
      <c r="F31">
        <f>_xlfn.XLOOKUP(A31,'[1]SCORE comercial'!A$28:A$760,'[1]SCORE comercial'!K$28:K$760,"---",0,1)</f>
        <v>6</v>
      </c>
    </row>
    <row r="32" spans="1:6" x14ac:dyDescent="0.3">
      <c r="A32" t="s">
        <v>5</v>
      </c>
      <c r="B32">
        <f>_xlfn.XLOOKUP(A32,'[1]SCORE Técnico Promedio'!A$30:A$761,'[1]SCORE Técnico Promedio'!M$30:M$761,"---",0,1)</f>
        <v>30</v>
      </c>
      <c r="C32" s="4">
        <f>_xlfn.XLOOKUP(A32,'[1]PFV Proyecto Puro'!D$3:D$78,'[1]PFV Proyecto Puro'!CD$3:CD$78,"---",0,1)</f>
        <v>93.607486248881401</v>
      </c>
      <c r="D32" s="6">
        <f>_xlfn.XLOOKUP(A32,'[1]PFV Proyecto Puro'!D$3:D$78,'[1]PFV Proyecto Puro'!CE$3:CE$78,"---",0,1)</f>
        <v>279.63938708891095</v>
      </c>
      <c r="E32">
        <f>_xlfn.XLOOKUP(A32,'[1]SCORE comercial'!A$28:A$760,'[1]SCORE comercial'!H$28:H$760,"---",0,1)</f>
        <v>6</v>
      </c>
      <c r="F32">
        <f>_xlfn.XLOOKUP(A32,'[1]SCORE comercial'!A$28:A$760,'[1]SCORE comercial'!K$28:K$760,"---",0,1)</f>
        <v>10</v>
      </c>
    </row>
    <row r="33" spans="1:6" x14ac:dyDescent="0.3">
      <c r="A33" t="s">
        <v>28</v>
      </c>
      <c r="B33">
        <f>_xlfn.XLOOKUP(A33,'[1]SCORE Técnico Promedio'!A$30:A$761,'[1]SCORE Técnico Promedio'!M$30:M$761,"---",0,1)</f>
        <v>30</v>
      </c>
      <c r="C33" s="4">
        <f>_xlfn.XLOOKUP(A33,'[1]PFV Proyecto Puro'!D$3:D$78,'[1]PFV Proyecto Puro'!CD$3:CD$78,"---",0,1)</f>
        <v>92.990504377886353</v>
      </c>
      <c r="D33" s="6">
        <f>_xlfn.XLOOKUP(A33,'[1]PFV Proyecto Puro'!D$3:D$78,'[1]PFV Proyecto Puro'!CE$3:CE$78,"---",0,1)</f>
        <v>137.26143535275247</v>
      </c>
      <c r="E33">
        <f>_xlfn.XLOOKUP(A33,'[1]SCORE comercial'!A$28:A$760,'[1]SCORE comercial'!H$28:H$760,"---",0,1)</f>
        <v>6</v>
      </c>
      <c r="F33">
        <f>_xlfn.XLOOKUP(A33,'[1]SCORE comercial'!A$28:A$760,'[1]SCORE comercial'!K$28:K$760,"---",0,1)</f>
        <v>9</v>
      </c>
    </row>
    <row r="34" spans="1:6" x14ac:dyDescent="0.3">
      <c r="A34" t="s">
        <v>38</v>
      </c>
      <c r="B34">
        <f>_xlfn.XLOOKUP(A34,'[1]SCORE Técnico Promedio'!A$30:A$761,'[1]SCORE Técnico Promedio'!M$30:M$761,"---",0,1)</f>
        <v>24</v>
      </c>
      <c r="C34" s="4">
        <f>_xlfn.XLOOKUP(A34,'[1]PFV Proyecto Puro'!D$3:D$78,'[1]PFV Proyecto Puro'!CD$3:CD$78,"---",0,1)</f>
        <v>91.398662501573469</v>
      </c>
      <c r="D34" s="6">
        <f>_xlfn.XLOOKUP(A34,'[1]PFV Proyecto Puro'!D$3:D$78,'[1]PFV Proyecto Puro'!CE$3:CE$78,"---",0,1)</f>
        <v>58.595599722111082</v>
      </c>
      <c r="E34">
        <f>_xlfn.XLOOKUP(A34,'[1]SCORE comercial'!A$28:A$760,'[1]SCORE comercial'!H$28:H$760,"---",0,1)</f>
        <v>5</v>
      </c>
      <c r="F34">
        <f>_xlfn.XLOOKUP(A34,'[1]SCORE comercial'!A$28:A$760,'[1]SCORE comercial'!K$28:K$760,"---",0,1)</f>
        <v>4</v>
      </c>
    </row>
    <row r="35" spans="1:6" x14ac:dyDescent="0.3">
      <c r="A35" t="s">
        <v>35</v>
      </c>
      <c r="B35">
        <f>_xlfn.XLOOKUP(A35,'[1]SCORE Técnico Promedio'!A$30:A$761,'[1]SCORE Técnico Promedio'!M$30:M$761,"---",0,1)</f>
        <v>22</v>
      </c>
      <c r="C35" s="4">
        <f>_xlfn.XLOOKUP(A35,'[1]PFV Proyecto Puro'!D$3:D$78,'[1]PFV Proyecto Puro'!CD$3:CD$78,"---",0,1)</f>
        <v>90.663901448570243</v>
      </c>
      <c r="D35" s="6">
        <f>_xlfn.XLOOKUP(A35,'[1]PFV Proyecto Puro'!D$3:D$78,'[1]PFV Proyecto Puro'!CE$3:CE$78,"---",0,1)</f>
        <v>58.308560240126781</v>
      </c>
      <c r="E35">
        <f>_xlfn.XLOOKUP(A35,'[1]SCORE comercial'!A$28:A$760,'[1]SCORE comercial'!H$28:H$760,"---",0,1)</f>
        <v>5</v>
      </c>
      <c r="F35">
        <f>_xlfn.XLOOKUP(A35,'[1]SCORE comercial'!A$28:A$760,'[1]SCORE comercial'!K$28:K$760,"---",0,1)</f>
        <v>4</v>
      </c>
    </row>
    <row r="36" spans="1:6" x14ac:dyDescent="0.3">
      <c r="A36" t="s">
        <v>20</v>
      </c>
      <c r="B36">
        <f>_xlfn.XLOOKUP(A36,'[1]SCORE Técnico Promedio'!A$30:A$761,'[1]SCORE Técnico Promedio'!M$30:M$761,"---",0,1)</f>
        <v>27</v>
      </c>
      <c r="C36" s="4">
        <f>_xlfn.XLOOKUP(A36,'[1]PFV Proyecto Puro'!D$3:D$78,'[1]PFV Proyecto Puro'!CD$3:CD$78,"---",0,1)</f>
        <v>87.353465167615525</v>
      </c>
      <c r="D36" s="6">
        <f>_xlfn.XLOOKUP(A36,'[1]PFV Proyecto Puro'!D$3:D$78,'[1]PFV Proyecto Puro'!CE$3:CE$78,"---",0,1)</f>
        <v>85.46269087234684</v>
      </c>
      <c r="E36">
        <f>_xlfn.XLOOKUP(A36,'[1]SCORE comercial'!A$28:A$760,'[1]SCORE comercial'!H$28:H$760,"---",0,1)</f>
        <v>5</v>
      </c>
      <c r="F36">
        <f>_xlfn.XLOOKUP(A36,'[1]SCORE comercial'!A$28:A$760,'[1]SCORE comercial'!K$28:K$760,"---",0,1)</f>
        <v>6</v>
      </c>
    </row>
    <row r="37" spans="1:6" x14ac:dyDescent="0.3">
      <c r="A37" t="s">
        <v>23</v>
      </c>
      <c r="B37">
        <f>_xlfn.XLOOKUP(A37,'[1]SCORE Técnico Promedio'!A$30:A$761,'[1]SCORE Técnico Promedio'!M$30:M$761,"---",0,1)</f>
        <v>17</v>
      </c>
      <c r="C37" s="4">
        <f>_xlfn.XLOOKUP(A37,'[1]PFV Proyecto Puro'!D$3:D$78,'[1]PFV Proyecto Puro'!CD$3:CD$78,"---",0,1)</f>
        <v>81.329008645014241</v>
      </c>
      <c r="D37" s="6">
        <f>_xlfn.XLOOKUP(A37,'[1]PFV Proyecto Puro'!D$3:D$78,'[1]PFV Proyecto Puro'!CE$3:CE$78,"---",0,1)</f>
        <v>78.097831211286106</v>
      </c>
      <c r="E37">
        <f>_xlfn.XLOOKUP(A37,'[1]SCORE comercial'!A$28:A$760,'[1]SCORE comercial'!H$28:H$760,"---",0,1)</f>
        <v>5</v>
      </c>
      <c r="F37">
        <f>_xlfn.XLOOKUP(A37,'[1]SCORE comercial'!A$28:A$760,'[1]SCORE comercial'!K$28:K$760,"---",0,1)</f>
        <v>6</v>
      </c>
    </row>
    <row r="38" spans="1:6" x14ac:dyDescent="0.3">
      <c r="A38" t="s">
        <v>21</v>
      </c>
      <c r="B38">
        <f>_xlfn.XLOOKUP(A38,'[1]SCORE Técnico Promedio'!A$30:A$761,'[1]SCORE Técnico Promedio'!M$30:M$761,"---",0,1)</f>
        <v>27</v>
      </c>
      <c r="C38" s="4">
        <f>_xlfn.XLOOKUP(A38,'[1]PFV Proyecto Puro'!D$3:D$78,'[1]PFV Proyecto Puro'!CD$3:CD$78,"---",0,1)</f>
        <v>77.489457860750406</v>
      </c>
      <c r="D38" s="6">
        <f>_xlfn.XLOOKUP(A38,'[1]PFV Proyecto Puro'!D$3:D$78,'[1]PFV Proyecto Puro'!CE$3:CE$78,"---",0,1)</f>
        <v>96.082038641272788</v>
      </c>
      <c r="E38">
        <f>_xlfn.XLOOKUP(A38,'[1]SCORE comercial'!A$28:A$760,'[1]SCORE comercial'!H$28:H$760,"---",0,1)</f>
        <v>5</v>
      </c>
      <c r="F38">
        <f>_xlfn.XLOOKUP(A38,'[1]SCORE comercial'!A$28:A$760,'[1]SCORE comercial'!K$28:K$760,"---",0,1)</f>
        <v>6</v>
      </c>
    </row>
    <row r="39" spans="1:6" x14ac:dyDescent="0.3">
      <c r="A39" t="s">
        <v>1</v>
      </c>
      <c r="B39">
        <f>_xlfn.XLOOKUP(A39,'[1]SCORE Técnico Promedio'!A$30:A$761,'[1]SCORE Técnico Promedio'!M$30:M$761,"---",0,1)</f>
        <v>25</v>
      </c>
      <c r="C39" s="4">
        <f>_xlfn.XLOOKUP(A39,'[1]PFV Proyecto Puro'!D$3:D$78,'[1]PFV Proyecto Puro'!CD$3:CD$78,"---",0,1)</f>
        <v>76.428287381574279</v>
      </c>
      <c r="D39" s="6">
        <f>_xlfn.XLOOKUP(A39,'[1]PFV Proyecto Puro'!D$3:D$78,'[1]PFV Proyecto Puro'!CE$3:CE$78,"---",0,1)</f>
        <v>213.69474255136006</v>
      </c>
      <c r="E39">
        <f>_xlfn.XLOOKUP(A39,'[1]SCORE comercial'!A$28:A$760,'[1]SCORE comercial'!H$28:H$760,"---",0,1)</f>
        <v>5</v>
      </c>
      <c r="F39">
        <f>_xlfn.XLOOKUP(A39,'[1]SCORE comercial'!A$28:A$760,'[1]SCORE comercial'!K$28:K$760,"---",0,1)</f>
        <v>10</v>
      </c>
    </row>
    <row r="40" spans="1:6" x14ac:dyDescent="0.3">
      <c r="A40" t="s">
        <v>30</v>
      </c>
      <c r="B40">
        <f>_xlfn.XLOOKUP(A40,'[1]SCORE Técnico Promedio'!A$30:A$761,'[1]SCORE Técnico Promedio'!M$30:M$761,"---",0,1)</f>
        <v>18</v>
      </c>
      <c r="C40" s="4">
        <f>_xlfn.XLOOKUP(A40,'[1]PFV Proyecto Puro'!D$3:D$78,'[1]PFV Proyecto Puro'!CD$3:CD$78,"---",0,1)</f>
        <v>74.352491824072459</v>
      </c>
      <c r="D40" s="6">
        <f>_xlfn.XLOOKUP(A40,'[1]PFV Proyecto Puro'!D$3:D$78,'[1]PFV Proyecto Puro'!CE$3:CE$78,"---",0,1)</f>
        <v>62.959486745461732</v>
      </c>
      <c r="E40">
        <f>_xlfn.XLOOKUP(A40,'[1]SCORE comercial'!A$28:A$760,'[1]SCORE comercial'!H$28:H$760,"---",0,1)</f>
        <v>5</v>
      </c>
      <c r="F40">
        <f>_xlfn.XLOOKUP(A40,'[1]SCORE comercial'!A$28:A$760,'[1]SCORE comercial'!K$28:K$760,"---",0,1)</f>
        <v>5</v>
      </c>
    </row>
    <row r="41" spans="1:6" x14ac:dyDescent="0.3">
      <c r="A41" t="s">
        <v>25</v>
      </c>
      <c r="B41">
        <f>_xlfn.XLOOKUP(A41,'[1]SCORE Técnico Promedio'!A$30:A$761,'[1]SCORE Técnico Promedio'!M$30:M$761,"---",0,1)</f>
        <v>27</v>
      </c>
      <c r="C41" s="4">
        <f>_xlfn.XLOOKUP(A41,'[1]PFV Proyecto Puro'!D$3:D$78,'[1]PFV Proyecto Puro'!CD$3:CD$78,"---",0,1)</f>
        <v>72.185778981537624</v>
      </c>
      <c r="D41" s="6">
        <f>_xlfn.XLOOKUP(A41,'[1]PFV Proyecto Puro'!D$3:D$78,'[1]PFV Proyecto Puro'!CE$3:CE$78,"---",0,1)</f>
        <v>56.377157688509307</v>
      </c>
      <c r="E41">
        <f>_xlfn.XLOOKUP(A41,'[1]SCORE comercial'!A$28:A$760,'[1]SCORE comercial'!H$28:H$760,"---",0,1)</f>
        <v>5</v>
      </c>
      <c r="F41">
        <f>_xlfn.XLOOKUP(A41,'[1]SCORE comercial'!A$28:A$760,'[1]SCORE comercial'!K$28:K$760,"---",0,1)</f>
        <v>4</v>
      </c>
    </row>
    <row r="42" spans="1:6" x14ac:dyDescent="0.3">
      <c r="A42" t="s">
        <v>59</v>
      </c>
      <c r="B42">
        <f>_xlfn.XLOOKUP(A42,'[1]SCORE Técnico Promedio'!A$30:A$761,'[1]SCORE Técnico Promedio'!M$30:M$761,"---",0,1)</f>
        <v>22</v>
      </c>
      <c r="C42" s="4">
        <f>_xlfn.XLOOKUP(A42,'[1]PFV Proyecto Puro'!D$3:D$78,'[1]PFV Proyecto Puro'!CD$3:CD$78,"---",0,1)</f>
        <v>63.442273740022721</v>
      </c>
      <c r="D42" s="6" t="str">
        <f>_xlfn.XLOOKUP(A42,'[1]PFV Proyecto Puro'!D$3:D$78,'[1]PFV Proyecto Puro'!CE$3:CE$78,"---",0,1)</f>
        <v>-</v>
      </c>
      <c r="E42">
        <f>_xlfn.XLOOKUP(A42,'[1]SCORE comercial'!A$28:A$760,'[1]SCORE comercial'!H$28:H$760,"---",0,1)</f>
        <v>4</v>
      </c>
      <c r="F42" t="str">
        <f>_xlfn.XLOOKUP(A42,'[1]SCORE comercial'!A$28:A$760,'[1]SCORE comercial'!K$28:K$760,"---",0,1)</f>
        <v>-</v>
      </c>
    </row>
    <row r="43" spans="1:6" x14ac:dyDescent="0.3">
      <c r="A43" t="s">
        <v>34</v>
      </c>
      <c r="B43">
        <f>_xlfn.XLOOKUP(A43,'[1]SCORE Técnico Promedio'!A$30:A$761,'[1]SCORE Técnico Promedio'!M$30:M$761,"---",0,1)</f>
        <v>24</v>
      </c>
      <c r="C43" s="4">
        <f>_xlfn.XLOOKUP(A43,'[1]PFV Proyecto Puro'!D$3:D$78,'[1]PFV Proyecto Puro'!CD$3:CD$78,"---",0,1)</f>
        <v>63.352321353673524</v>
      </c>
      <c r="D43" s="6">
        <f>_xlfn.XLOOKUP(A43,'[1]PFV Proyecto Puro'!D$3:D$78,'[1]PFV Proyecto Puro'!CE$3:CE$78,"---",0,1)</f>
        <v>58.213209897553845</v>
      </c>
      <c r="E43">
        <f>_xlfn.XLOOKUP(A43,'[1]SCORE comercial'!A$28:A$760,'[1]SCORE comercial'!H$28:H$760,"---",0,1)</f>
        <v>4</v>
      </c>
      <c r="F43">
        <f>_xlfn.XLOOKUP(A43,'[1]SCORE comercial'!A$28:A$760,'[1]SCORE comercial'!K$28:K$760,"---",0,1)</f>
        <v>4</v>
      </c>
    </row>
    <row r="44" spans="1:6" x14ac:dyDescent="0.3">
      <c r="A44" t="s">
        <v>55</v>
      </c>
      <c r="B44">
        <f>_xlfn.XLOOKUP(A44,'[1]SCORE Técnico Promedio'!A$30:A$761,'[1]SCORE Técnico Promedio'!M$30:M$761,"---",0,1)</f>
        <v>27</v>
      </c>
      <c r="C44" s="4">
        <f>_xlfn.XLOOKUP(A44,'[1]PFV Proyecto Puro'!D$3:D$78,'[1]PFV Proyecto Puro'!CD$3:CD$78,"---",0,1)</f>
        <v>62.577762755201285</v>
      </c>
      <c r="D44" s="6" t="str">
        <f>_xlfn.XLOOKUP(A44,'[1]PFV Proyecto Puro'!D$3:D$78,'[1]PFV Proyecto Puro'!CE$3:CE$78,"---",0,1)</f>
        <v>-</v>
      </c>
      <c r="E44">
        <f>_xlfn.XLOOKUP(A44,'[1]SCORE comercial'!A$28:A$760,'[1]SCORE comercial'!H$28:H$760,"---",0,1)</f>
        <v>4</v>
      </c>
      <c r="F44" t="str">
        <f>_xlfn.XLOOKUP(A44,'[1]SCORE comercial'!A$28:A$760,'[1]SCORE comercial'!K$28:K$760,"---",0,1)</f>
        <v>-</v>
      </c>
    </row>
    <row r="45" spans="1:6" x14ac:dyDescent="0.3">
      <c r="A45" t="s">
        <v>31</v>
      </c>
      <c r="B45">
        <f>_xlfn.XLOOKUP(A45,'[1]SCORE Técnico Promedio'!A$30:A$761,'[1]SCORE Técnico Promedio'!M$30:M$761,"---",0,1)</f>
        <v>24</v>
      </c>
      <c r="C45" s="4">
        <f>_xlfn.XLOOKUP(A45,'[1]PFV Proyecto Puro'!D$3:D$78,'[1]PFV Proyecto Puro'!CD$3:CD$78,"---",0,1)</f>
        <v>62.216151585762177</v>
      </c>
      <c r="D45" s="6">
        <f>_xlfn.XLOOKUP(A45,'[1]PFV Proyecto Puro'!D$3:D$78,'[1]PFV Proyecto Puro'!CE$3:CE$78,"---",0,1)</f>
        <v>51.173475954890485</v>
      </c>
      <c r="E45">
        <f>_xlfn.XLOOKUP(A45,'[1]SCORE comercial'!A$28:A$760,'[1]SCORE comercial'!H$28:H$760,"---",0,1)</f>
        <v>4</v>
      </c>
      <c r="F45">
        <f>_xlfn.XLOOKUP(A45,'[1]SCORE comercial'!A$28:A$760,'[1]SCORE comercial'!K$28:K$760,"---",0,1)</f>
        <v>3</v>
      </c>
    </row>
    <row r="46" spans="1:6" x14ac:dyDescent="0.3">
      <c r="A46" t="s">
        <v>44</v>
      </c>
      <c r="B46">
        <f>_xlfn.XLOOKUP(A46,'[1]SCORE Técnico Promedio'!A$30:A$761,'[1]SCORE Técnico Promedio'!M$30:M$761,"---",0,1)</f>
        <v>25</v>
      </c>
      <c r="C46" s="4">
        <f>_xlfn.XLOOKUP(A46,'[1]PFV Proyecto Puro'!D$3:D$78,'[1]PFV Proyecto Puro'!CD$3:CD$78,"---",0,1)</f>
        <v>60.129708168778912</v>
      </c>
      <c r="D46" s="6">
        <f>_xlfn.XLOOKUP(A46,'[1]PFV Proyecto Puro'!D$3:D$78,'[1]PFV Proyecto Puro'!CE$3:CE$78,"---",0,1)</f>
        <v>60.129708168778912</v>
      </c>
      <c r="E46">
        <f>_xlfn.XLOOKUP(A46,'[1]SCORE comercial'!A$28:A$760,'[1]SCORE comercial'!H$28:H$760,"---",0,1)</f>
        <v>4</v>
      </c>
      <c r="F46">
        <f>_xlfn.XLOOKUP(A46,'[1]SCORE comercial'!A$28:A$760,'[1]SCORE comercial'!K$28:K$760,"---",0,1)</f>
        <v>4</v>
      </c>
    </row>
    <row r="47" spans="1:6" x14ac:dyDescent="0.3">
      <c r="A47" t="s">
        <v>11</v>
      </c>
      <c r="B47">
        <f>_xlfn.XLOOKUP(A47,'[1]SCORE Técnico Promedio'!A$30:A$761,'[1]SCORE Técnico Promedio'!M$30:M$761,"---",0,1)</f>
        <v>26</v>
      </c>
      <c r="C47" s="4">
        <f>_xlfn.XLOOKUP(A47,'[1]PFV Proyecto Puro'!D$3:D$78,'[1]PFV Proyecto Puro'!CD$3:CD$78,"---",0,1)</f>
        <v>58.793466696212718</v>
      </c>
      <c r="D47" s="6">
        <f>_xlfn.XLOOKUP(A47,'[1]PFV Proyecto Puro'!D$3:D$78,'[1]PFV Proyecto Puro'!CE$3:CE$78,"---",0,1)</f>
        <v>98.698739826924182</v>
      </c>
      <c r="E47">
        <f>_xlfn.XLOOKUP(A47,'[1]SCORE comercial'!A$28:A$760,'[1]SCORE comercial'!H$28:H$760,"---",0,1)</f>
        <v>4</v>
      </c>
      <c r="F47">
        <f>_xlfn.XLOOKUP(A47,'[1]SCORE comercial'!A$28:A$760,'[1]SCORE comercial'!K$28:K$760,"---",0,1)</f>
        <v>6</v>
      </c>
    </row>
    <row r="48" spans="1:6" x14ac:dyDescent="0.3">
      <c r="A48" t="s">
        <v>32</v>
      </c>
      <c r="B48">
        <f>_xlfn.XLOOKUP(A48,'[1]SCORE Técnico Promedio'!A$30:A$761,'[1]SCORE Técnico Promedio'!M$30:M$761,"---",0,1)</f>
        <v>22</v>
      </c>
      <c r="C48" s="4">
        <f>_xlfn.XLOOKUP(A48,'[1]PFV Proyecto Puro'!D$3:D$78,'[1]PFV Proyecto Puro'!CD$3:CD$78,"---",0,1)</f>
        <v>56.184687451190754</v>
      </c>
      <c r="D48" s="6">
        <f>_xlfn.XLOOKUP(A48,'[1]PFV Proyecto Puro'!D$3:D$78,'[1]PFV Proyecto Puro'!CE$3:CE$78,"---",0,1)</f>
        <v>51.658946411605257</v>
      </c>
      <c r="E48">
        <f>_xlfn.XLOOKUP(A48,'[1]SCORE comercial'!A$28:A$760,'[1]SCORE comercial'!H$28:H$760,"---",0,1)</f>
        <v>3</v>
      </c>
      <c r="F48">
        <f>_xlfn.XLOOKUP(A48,'[1]SCORE comercial'!A$28:A$760,'[1]SCORE comercial'!K$28:K$760,"---",0,1)</f>
        <v>3</v>
      </c>
    </row>
    <row r="49" spans="1:6" x14ac:dyDescent="0.3">
      <c r="A49" t="s">
        <v>33</v>
      </c>
      <c r="B49">
        <f>_xlfn.XLOOKUP(A49,'[1]SCORE Técnico Promedio'!A$30:A$761,'[1]SCORE Técnico Promedio'!M$30:M$761,"---",0,1)</f>
        <v>20</v>
      </c>
      <c r="C49" s="4">
        <f>_xlfn.XLOOKUP(A49,'[1]PFV Proyecto Puro'!D$3:D$78,'[1]PFV Proyecto Puro'!CD$3:CD$78,"---",0,1)</f>
        <v>56.144466313767701</v>
      </c>
      <c r="D49" s="6">
        <f>_xlfn.XLOOKUP(A49,'[1]PFV Proyecto Puro'!D$3:D$78,'[1]PFV Proyecto Puro'!CE$3:CE$78,"---",0,1)</f>
        <v>53.422824583531359</v>
      </c>
      <c r="E49">
        <f>_xlfn.XLOOKUP(A49,'[1]SCORE comercial'!A$28:A$760,'[1]SCORE comercial'!H$28:H$760,"---",0,1)</f>
        <v>3</v>
      </c>
      <c r="F49">
        <f>_xlfn.XLOOKUP(A49,'[1]SCORE comercial'!A$28:A$760,'[1]SCORE comercial'!K$28:K$760,"---",0,1)</f>
        <v>3</v>
      </c>
    </row>
    <row r="50" spans="1:6" x14ac:dyDescent="0.3">
      <c r="A50" t="s">
        <v>40</v>
      </c>
      <c r="B50">
        <f>_xlfn.XLOOKUP(A50,'[1]SCORE Técnico Promedio'!A$30:A$761,'[1]SCORE Técnico Promedio'!M$30:M$761,"---",0,1)</f>
        <v>24</v>
      </c>
      <c r="C50" s="4">
        <f>_xlfn.XLOOKUP(A50,'[1]PFV Proyecto Puro'!D$3:D$78,'[1]PFV Proyecto Puro'!CD$3:CD$78,"---",0,1)</f>
        <v>53.365144868727548</v>
      </c>
      <c r="D50" s="6">
        <f>_xlfn.XLOOKUP(A50,'[1]PFV Proyecto Puro'!D$3:D$78,'[1]PFV Proyecto Puro'!CE$3:CE$78,"---",0,1)</f>
        <v>48.561374555411653</v>
      </c>
      <c r="E50">
        <f>_xlfn.XLOOKUP(A50,'[1]SCORE comercial'!A$28:A$760,'[1]SCORE comercial'!H$28:H$760,"---",0,1)</f>
        <v>3</v>
      </c>
      <c r="F50">
        <f>_xlfn.XLOOKUP(A50,'[1]SCORE comercial'!A$28:A$760,'[1]SCORE comercial'!K$28:K$760,"---",0,1)</f>
        <v>3</v>
      </c>
    </row>
    <row r="51" spans="1:6" x14ac:dyDescent="0.3">
      <c r="A51" t="s">
        <v>54</v>
      </c>
      <c r="B51">
        <f>_xlfn.XLOOKUP(A51,'[1]SCORE Técnico Promedio'!A$30:A$761,'[1]SCORE Técnico Promedio'!M$30:M$761,"---",0,1)</f>
        <v>28</v>
      </c>
      <c r="C51" s="4">
        <f>_xlfn.XLOOKUP(A51,'[1]PFV Proyecto Puro'!D$3:D$78,'[1]PFV Proyecto Puro'!CD$3:CD$78,"---",0,1)</f>
        <v>51.529372024830337</v>
      </c>
      <c r="D51" s="6" t="str">
        <f>_xlfn.XLOOKUP(A51,'[1]PFV Proyecto Puro'!D$3:D$78,'[1]PFV Proyecto Puro'!CE$3:CE$78,"---",0,1)</f>
        <v>-</v>
      </c>
      <c r="E51">
        <f>_xlfn.XLOOKUP(A51,'[1]SCORE comercial'!A$28:A$760,'[1]SCORE comercial'!H$28:H$760,"---",0,1)</f>
        <v>3</v>
      </c>
      <c r="F51" t="str">
        <f>_xlfn.XLOOKUP(A51,'[1]SCORE comercial'!A$28:A$760,'[1]SCORE comercial'!K$28:K$760,"---",0,1)</f>
        <v>-</v>
      </c>
    </row>
    <row r="52" spans="1:6" x14ac:dyDescent="0.3">
      <c r="A52" t="s">
        <v>24</v>
      </c>
      <c r="B52">
        <f>_xlfn.XLOOKUP(A52,'[1]SCORE Técnico Promedio'!A$30:A$761,'[1]SCORE Técnico Promedio'!M$30:M$761,"---",0,1)</f>
        <v>25</v>
      </c>
      <c r="C52" s="4">
        <f>_xlfn.XLOOKUP(A52,'[1]PFV Proyecto Puro'!D$3:D$78,'[1]PFV Proyecto Puro'!CD$3:CD$78,"---",0,1)</f>
        <v>50.304776192582921</v>
      </c>
      <c r="D52" s="6">
        <f>_xlfn.XLOOKUP(A52,'[1]PFV Proyecto Puro'!D$3:D$78,'[1]PFV Proyecto Puro'!CE$3:CE$78,"---",0,1)</f>
        <v>60.987509864450338</v>
      </c>
      <c r="E52">
        <f>_xlfn.XLOOKUP(A52,'[1]SCORE comercial'!A$28:A$760,'[1]SCORE comercial'!H$28:H$760,"---",0,1)</f>
        <v>2</v>
      </c>
      <c r="F52">
        <f>_xlfn.XLOOKUP(A52,'[1]SCORE comercial'!A$28:A$760,'[1]SCORE comercial'!K$28:K$760,"---",0,1)</f>
        <v>4</v>
      </c>
    </row>
    <row r="53" spans="1:6" x14ac:dyDescent="0.3">
      <c r="A53" t="s">
        <v>37</v>
      </c>
      <c r="B53">
        <f>_xlfn.XLOOKUP(A53,'[1]SCORE Técnico Promedio'!A$30:A$761,'[1]SCORE Técnico Promedio'!M$30:M$761,"---",0,1)</f>
        <v>21</v>
      </c>
      <c r="C53" s="4">
        <f>_xlfn.XLOOKUP(A53,'[1]PFV Proyecto Puro'!D$3:D$78,'[1]PFV Proyecto Puro'!CD$3:CD$78,"---",0,1)</f>
        <v>47.267385112566615</v>
      </c>
      <c r="D53" s="6">
        <f>_xlfn.XLOOKUP(A53,'[1]PFV Proyecto Puro'!D$3:D$78,'[1]PFV Proyecto Puro'!CE$3:CE$78,"---",0,1)</f>
        <v>43.797716855137359</v>
      </c>
      <c r="E53">
        <f>_xlfn.XLOOKUP(A53,'[1]SCORE comercial'!A$28:A$760,'[1]SCORE comercial'!H$28:H$760,"---",0,1)</f>
        <v>2</v>
      </c>
      <c r="F53">
        <f>_xlfn.XLOOKUP(A53,'[1]SCORE comercial'!A$28:A$760,'[1]SCORE comercial'!K$28:K$760,"---",0,1)</f>
        <v>1</v>
      </c>
    </row>
    <row r="54" spans="1:6" x14ac:dyDescent="0.3">
      <c r="A54" t="s">
        <v>48</v>
      </c>
      <c r="B54">
        <f>_xlfn.XLOOKUP(A54,'[1]SCORE Técnico Promedio'!A$30:A$761,'[1]SCORE Técnico Promedio'!M$30:M$761,"---",0,1)</f>
        <v>23</v>
      </c>
      <c r="C54" s="4">
        <f>_xlfn.XLOOKUP(A54,'[1]PFV Proyecto Puro'!D$3:D$78,'[1]PFV Proyecto Puro'!CD$3:CD$78,"---",0,1)</f>
        <v>46.921269641603153</v>
      </c>
      <c r="D54" s="6">
        <f>_xlfn.XLOOKUP(A54,'[1]PFV Proyecto Puro'!D$3:D$78,'[1]PFV Proyecto Puro'!CE$3:CE$78,"---",0,1)</f>
        <v>53.406650841276864</v>
      </c>
      <c r="E54">
        <f>_xlfn.XLOOKUP(A54,'[1]SCORE comercial'!A$28:A$760,'[1]SCORE comercial'!H$28:H$760,"---",0,1)</f>
        <v>2</v>
      </c>
      <c r="F54">
        <f>_xlfn.XLOOKUP(A54,'[1]SCORE comercial'!A$28:A$760,'[1]SCORE comercial'!K$28:K$760,"---",0,1)</f>
        <v>3</v>
      </c>
    </row>
    <row r="55" spans="1:6" x14ac:dyDescent="0.3">
      <c r="A55" t="s">
        <v>43</v>
      </c>
      <c r="B55">
        <f>_xlfn.XLOOKUP(A55,'[1]SCORE Técnico Promedio'!A$30:A$761,'[1]SCORE Técnico Promedio'!M$30:M$761,"---",0,1)</f>
        <v>26</v>
      </c>
      <c r="C55" s="4">
        <f>_xlfn.XLOOKUP(A55,'[1]PFV Proyecto Puro'!D$3:D$78,'[1]PFV Proyecto Puro'!CD$3:CD$78,"---",0,1)</f>
        <v>46.780683612984056</v>
      </c>
      <c r="D55" s="6">
        <f>_xlfn.XLOOKUP(A55,'[1]PFV Proyecto Puro'!D$3:D$78,'[1]PFV Proyecto Puro'!CE$3:CE$78,"---",0,1)</f>
        <v>45.575537933172924</v>
      </c>
      <c r="E55">
        <f>_xlfn.XLOOKUP(A55,'[1]SCORE comercial'!A$28:A$760,'[1]SCORE comercial'!H$28:H$760,"---",0,1)</f>
        <v>2</v>
      </c>
      <c r="F55">
        <f>_xlfn.XLOOKUP(A55,'[1]SCORE comercial'!A$28:A$760,'[1]SCORE comercial'!K$28:K$760,"---",0,1)</f>
        <v>2</v>
      </c>
    </row>
    <row r="56" spans="1:6" x14ac:dyDescent="0.3">
      <c r="A56" t="s">
        <v>41</v>
      </c>
      <c r="B56">
        <f>_xlfn.XLOOKUP(A56,'[1]SCORE Técnico Promedio'!A$30:A$761,'[1]SCORE Técnico Promedio'!M$30:M$761,"---",0,1)</f>
        <v>21</v>
      </c>
      <c r="C56" s="4">
        <f>_xlfn.XLOOKUP(A56,'[1]PFV Proyecto Puro'!D$3:D$78,'[1]PFV Proyecto Puro'!CD$3:CD$78,"---",0,1)</f>
        <v>45.758832419612908</v>
      </c>
      <c r="D56" s="6">
        <f>_xlfn.XLOOKUP(A56,'[1]PFV Proyecto Puro'!D$3:D$78,'[1]PFV Proyecto Puro'!CE$3:CE$78,"---",0,1)</f>
        <v>44.415675626314659</v>
      </c>
      <c r="E56">
        <f>_xlfn.XLOOKUP(A56,'[1]SCORE comercial'!A$28:A$760,'[1]SCORE comercial'!H$28:H$760,"---",0,1)</f>
        <v>2</v>
      </c>
      <c r="F56">
        <f>_xlfn.XLOOKUP(A56,'[1]SCORE comercial'!A$28:A$760,'[1]SCORE comercial'!K$28:K$760,"---",0,1)</f>
        <v>2</v>
      </c>
    </row>
    <row r="57" spans="1:6" x14ac:dyDescent="0.3">
      <c r="A57" t="s">
        <v>45</v>
      </c>
      <c r="B57">
        <f>_xlfn.XLOOKUP(A57,'[1]SCORE Técnico Promedio'!A$30:A$761,'[1]SCORE Técnico Promedio'!M$30:M$761,"---",0,1)</f>
        <v>22</v>
      </c>
      <c r="C57" s="4">
        <f>_xlfn.XLOOKUP(A57,'[1]PFV Proyecto Puro'!D$3:D$78,'[1]PFV Proyecto Puro'!CD$3:CD$78,"---",0,1)</f>
        <v>45.353967057396005</v>
      </c>
      <c r="D57" s="6">
        <f>_xlfn.XLOOKUP(A57,'[1]PFV Proyecto Puro'!D$3:D$78,'[1]PFV Proyecto Puro'!CE$3:CE$78,"---",0,1)</f>
        <v>50.634977400775256</v>
      </c>
      <c r="E57">
        <f>_xlfn.XLOOKUP(A57,'[1]SCORE comercial'!A$28:A$760,'[1]SCORE comercial'!H$28:H$760,"---",0,1)</f>
        <v>1</v>
      </c>
      <c r="F57">
        <f>_xlfn.XLOOKUP(A57,'[1]SCORE comercial'!A$28:A$760,'[1]SCORE comercial'!K$28:K$760,"---",0,1)</f>
        <v>3</v>
      </c>
    </row>
    <row r="58" spans="1:6" x14ac:dyDescent="0.3">
      <c r="A58" t="s">
        <v>49</v>
      </c>
      <c r="B58">
        <f>_xlfn.XLOOKUP(A58,'[1]SCORE Técnico Promedio'!A$30:A$761,'[1]SCORE Técnico Promedio'!M$30:M$761,"---",0,1)</f>
        <v>22</v>
      </c>
      <c r="C58" s="4">
        <f>_xlfn.XLOOKUP(A58,'[1]PFV Proyecto Puro'!D$3:D$78,'[1]PFV Proyecto Puro'!CD$3:CD$78,"---",0,1)</f>
        <v>44.183957855804358</v>
      </c>
      <c r="D58" s="6">
        <f>_xlfn.XLOOKUP(A58,'[1]PFV Proyecto Puro'!D$3:D$78,'[1]PFV Proyecto Puro'!CE$3:CE$78,"---",0,1)</f>
        <v>44.183957855804358</v>
      </c>
      <c r="E58">
        <f>_xlfn.XLOOKUP(A58,'[1]SCORE comercial'!A$28:A$760,'[1]SCORE comercial'!H$28:H$760,"---",0,1)</f>
        <v>1</v>
      </c>
      <c r="F58">
        <f>_xlfn.XLOOKUP(A58,'[1]SCORE comercial'!A$28:A$760,'[1]SCORE comercial'!K$28:K$760,"---",0,1)</f>
        <v>2</v>
      </c>
    </row>
    <row r="59" spans="1:6" x14ac:dyDescent="0.3">
      <c r="A59" t="s">
        <v>46</v>
      </c>
      <c r="B59">
        <f>_xlfn.XLOOKUP(A59,'[1]SCORE Técnico Promedio'!A$30:A$761,'[1]SCORE Técnico Promedio'!M$30:M$761,"---",0,1)</f>
        <v>23</v>
      </c>
      <c r="C59" s="4">
        <f>_xlfn.XLOOKUP(A59,'[1]PFV Proyecto Puro'!D$3:D$78,'[1]PFV Proyecto Puro'!CD$3:CD$78,"---",0,1)</f>
        <v>39.133131346412249</v>
      </c>
      <c r="D59" s="6">
        <f>_xlfn.XLOOKUP(A59,'[1]PFV Proyecto Puro'!D$3:D$78,'[1]PFV Proyecto Puro'!CE$3:CE$78,"---",0,1)</f>
        <v>38.573698507744766</v>
      </c>
      <c r="E59">
        <f>_xlfn.XLOOKUP(A59,'[1]SCORE comercial'!A$28:A$760,'[1]SCORE comercial'!H$28:H$760,"---",0,1)</f>
        <v>1</v>
      </c>
      <c r="F59">
        <f>_xlfn.XLOOKUP(A59,'[1]SCORE comercial'!A$28:A$760,'[1]SCORE comercial'!K$28:K$760,"---",0,1)</f>
        <v>1</v>
      </c>
    </row>
    <row r="60" spans="1:6" x14ac:dyDescent="0.3">
      <c r="A60" t="s">
        <v>50</v>
      </c>
      <c r="B60">
        <f>_xlfn.XLOOKUP(A60,'[1]SCORE Técnico Promedio'!A$30:A$761,'[1]SCORE Técnico Promedio'!M$30:M$761,"---",0,1)</f>
        <v>26</v>
      </c>
      <c r="C60" s="4">
        <f>_xlfn.XLOOKUP(A60,'[1]PFV Proyecto Puro'!D$3:D$78,'[1]PFV Proyecto Puro'!CD$3:CD$78,"---",0,1)</f>
        <v>37.517513914770269</v>
      </c>
      <c r="D60" s="6">
        <f>_xlfn.XLOOKUP(A60,'[1]PFV Proyecto Puro'!D$3:D$78,'[1]PFV Proyecto Puro'!CE$3:CE$78,"---",0,1)</f>
        <v>37.517513914770269</v>
      </c>
      <c r="E60">
        <f>_xlfn.XLOOKUP(A60,'[1]SCORE comercial'!A$28:A$760,'[1]SCORE comercial'!H$28:H$760,"---",0,1)</f>
        <v>1</v>
      </c>
      <c r="F60">
        <f>_xlfn.XLOOKUP(A60,'[1]SCORE comercial'!A$28:A$760,'[1]SCORE comercial'!K$28:K$760,"---",0,1)</f>
        <v>1</v>
      </c>
    </row>
    <row r="61" spans="1:6" x14ac:dyDescent="0.3">
      <c r="A61" t="s">
        <v>51</v>
      </c>
      <c r="B61">
        <f>_xlfn.XLOOKUP(A61,'[1]SCORE Técnico Promedio'!A$30:A$761,'[1]SCORE Técnico Promedio'!M$30:M$761,"---",0,1)</f>
        <v>20</v>
      </c>
      <c r="C61" s="4">
        <f>_xlfn.XLOOKUP(A61,'[1]PFV Proyecto Puro'!D$3:D$78,'[1]PFV Proyecto Puro'!CD$3:CD$78,"---",0,1)</f>
        <v>26.715633727325926</v>
      </c>
      <c r="D61" s="6">
        <f>_xlfn.XLOOKUP(A61,'[1]PFV Proyecto Puro'!D$3:D$78,'[1]PFV Proyecto Puro'!CE$3:CE$78,"---",0,1)</f>
        <v>26.715633727325926</v>
      </c>
      <c r="E61">
        <f>_xlfn.XLOOKUP(A61,'[1]SCORE comercial'!A$28:A$760,'[1]SCORE comercial'!H$28:H$760,"---",0,1)</f>
        <v>1</v>
      </c>
      <c r="F61">
        <f>_xlfn.XLOOKUP(A61,'[1]SCORE comercial'!A$28:A$760,'[1]SCORE comercial'!K$28:K$760,"---",0,1)</f>
        <v>1</v>
      </c>
    </row>
    <row r="62" spans="1:6" x14ac:dyDescent="0.3">
      <c r="A62" s="2" t="s">
        <v>56</v>
      </c>
      <c r="B62">
        <f>_xlfn.XLOOKUP(A62,'[1]SCORE Técnico Promedio'!A$30:A$761,'[1]SCORE Técnico Promedio'!M$30:M$761,"---",0,1)</f>
        <v>27</v>
      </c>
      <c r="C62" s="4">
        <f>_xlfn.XLOOKUP(A62,'[1]PFV Proyecto Puro'!D$3:D$78,'[1]PFV Proyecto Puro'!CD$3:CD$78,"---",0,1)</f>
        <v>20.753233477563935</v>
      </c>
      <c r="D62" s="6">
        <f>_xlfn.XLOOKUP(A62,'[1]PFV Proyecto Puro'!D$3:D$78,'[1]PFV Proyecto Puro'!CE$3:CE$78,"---",0,1)</f>
        <v>20.753233477563935</v>
      </c>
      <c r="E62">
        <f>_xlfn.XLOOKUP(A62,'[1]SCORE comercial'!A$28:A$760,'[1]SCORE comercial'!H$28:H$760,"---",0,1)</f>
        <v>1</v>
      </c>
      <c r="F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2026-07-08T23:18:45Z</dcterms:modified>
</cp:coreProperties>
</file>