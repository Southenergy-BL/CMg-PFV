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bryan\Downloads\"/>
    </mc:Choice>
  </mc:AlternateContent>
  <xr:revisionPtr revIDLastSave="0" documentId="13_ncr:1_{F1CE52A8-1216-48DD-A47B-2ACCB81B7B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nking PFV" sheetId="5" r:id="rId1"/>
  </sheets>
  <externalReferences>
    <externalReference r:id="rId2"/>
  </externalReferences>
  <definedNames>
    <definedName name="datos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1" i="5"/>
  <c r="C12" i="5"/>
  <c r="C13" i="5"/>
  <c r="C14" i="5"/>
  <c r="C15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</calcChain>
</file>

<file path=xl/sharedStrings.xml><?xml version="1.0" encoding="utf-8"?>
<sst xmlns="http://schemas.openxmlformats.org/spreadsheetml/2006/main" count="72" uniqueCount="72">
  <si>
    <t>PFV LLANO DE LLAMPOS</t>
  </si>
  <si>
    <t>PFV SAN ANDRES</t>
  </si>
  <si>
    <t>PFV DIEGO DE ALMAGRO</t>
  </si>
  <si>
    <t>PFV LALACKAMA</t>
  </si>
  <si>
    <t>PFV CHAÑARES</t>
  </si>
  <si>
    <t>PFV SALVADOR</t>
  </si>
  <si>
    <t>PFV JAVIERA</t>
  </si>
  <si>
    <t>PFV LUZ DEL NORTE</t>
  </si>
  <si>
    <t>PFV PAMPA SOLAR NORTE</t>
  </si>
  <si>
    <t>PFV CARRERA PINTO</t>
  </si>
  <si>
    <t>PFV QUILAPILUN</t>
  </si>
  <si>
    <t>PFV LOS LOROS</t>
  </si>
  <si>
    <t>PFV CONEJO SOLAR</t>
  </si>
  <si>
    <t>PFV SANTIAGO SOLAR</t>
  </si>
  <si>
    <t>PFV ANDES SOLAR</t>
  </si>
  <si>
    <t>PFV MARIA ELENA</t>
  </si>
  <si>
    <t>PFV JAMA</t>
  </si>
  <si>
    <t>PFV LA HUAYCA II</t>
  </si>
  <si>
    <t>PFV EL ROMERO</t>
  </si>
  <si>
    <t>PFV DOÑA CARMEN SOLAR</t>
  </si>
  <si>
    <t>PFV EL PELICANO</t>
  </si>
  <si>
    <t>PFV URIBE SOLAR</t>
  </si>
  <si>
    <t>PFV BOLERO</t>
  </si>
  <si>
    <t>PFV CERRO DOMINADOR</t>
  </si>
  <si>
    <t>PFV HUATACONDO</t>
  </si>
  <si>
    <t>PFV ALMEYDA</t>
  </si>
  <si>
    <t>PFV GRANJA SOLAR</t>
  </si>
  <si>
    <t>PFV ANDES SOLAR II</t>
  </si>
  <si>
    <t>PFV SANTA ISABEL</t>
  </si>
  <si>
    <t>PFV USYA</t>
  </si>
  <si>
    <t>PFV NUEVO QUILLAGUA</t>
  </si>
  <si>
    <t>PFV ATACAMA SOLAR II</t>
  </si>
  <si>
    <t>PFV SAN PEDRO</t>
  </si>
  <si>
    <t>PFV LA HUELLA</t>
  </si>
  <si>
    <t>PFV RIO ESCONDIDO</t>
  </si>
  <si>
    <t>PFV AZABACHE</t>
  </si>
  <si>
    <t>PFV CAPRICORNIO</t>
  </si>
  <si>
    <t>PFV LA CRUZ SOLAR</t>
  </si>
  <si>
    <t>PFV SOL DE LILA</t>
  </si>
  <si>
    <t>PFV SOL DE LOS ANDES</t>
  </si>
  <si>
    <t>PFV VALLE ESCONDIDO</t>
  </si>
  <si>
    <t>PFV PAMPA TIGRE</t>
  </si>
  <si>
    <t>PFV TAMAYA SOLAR</t>
  </si>
  <si>
    <t>PFV VALLE DEL SOL</t>
  </si>
  <si>
    <t>PFV WILLKA</t>
  </si>
  <si>
    <t>PFV ANDES SOLAR II-B</t>
  </si>
  <si>
    <t>PFV COYA</t>
  </si>
  <si>
    <t>PFV ELENA</t>
  </si>
  <si>
    <t>PFV MESETA DE LOS ANDES</t>
  </si>
  <si>
    <t>PFV LAS SALINAS</t>
  </si>
  <si>
    <t>PFV MANZANO</t>
  </si>
  <si>
    <t>PFV ANDES SOLAR IV</t>
  </si>
  <si>
    <t>PFV DOÑA ANTONIA</t>
  </si>
  <si>
    <t>PFV GRAN TENO</t>
  </si>
  <si>
    <t>PFV TAMARICO</t>
  </si>
  <si>
    <t>PFV LEYDA</t>
  </si>
  <si>
    <t>PFV TAMANGO</t>
  </si>
  <si>
    <t>PFV DON HUMBERTO</t>
  </si>
  <si>
    <t>PFV ANDES SOLAR III</t>
  </si>
  <si>
    <t>PFV NUEVO QUILLAGUA II</t>
  </si>
  <si>
    <t>PFV VICTOR JARA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</si>
  <si>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</si>
  <si>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</si>
  <si>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</si>
  <si>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</si>
  <si>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</si>
  <si>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</si>
  <si>
    <t>Propietario</t>
  </si>
  <si>
    <t>Score Técnico 2025</t>
  </si>
  <si>
    <t>¿Tiene BESS?</t>
  </si>
  <si>
    <t>Construcción</t>
  </si>
  <si>
    <t>Autorizado Construcción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</si>
</sst>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$&quot;* #,##0_ ;_ &quot;$&quot;* \-#,##0_ ;_ &quot;$&quot;* &quot;-&quot;_ ;_ @_ "/>
    <numFmt numFmtId="165" formatCode="#,##0.00_ ;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/>
    <xf numFmtId="0" fontId="3" fillId="3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/>
    </xf>
    <xf numFmtId="0" fontId="4" fillId="2" borderId="2" xfId="5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7">
    <cellStyle name="Currency [0] 2" xfId="3" xr:uid="{196E2E30-9F6C-42A1-8C17-95095BEFC8F6}"/>
    <cellStyle name="Normal" xfId="0" builtinId="0"/>
    <cellStyle name="Normal 2" xfId="1" xr:uid="{D62048FC-45C0-415F-A247-8EB587E978C2}"/>
    <cellStyle name="Normal 2 2" xfId="2" xr:uid="{C1EF310E-EFAF-4FDD-A5C4-CE7268CB4738}"/>
    <cellStyle name="Normal 3" xfId="5" xr:uid="{2133DBA8-8206-4672-95E8-DEF29EEDE8E5}"/>
    <cellStyle name="Percent 2" xfId="4" xr:uid="{58112C72-130C-42B0-8A4E-D34DD169EBC9}"/>
    <cellStyle name="Porcentaje 2" xfId="6" xr:uid="{A0B6DF69-C992-4E48-8547-728BBDA495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C3" t="str">
            <v>GR CHAÑAR SPA</v>
          </cell>
          <cell r="D3" t="str">
            <v>PFV VICTOR JARA</v>
          </cell>
          <cell r="M3" t="str">
            <v>-</v>
          </cell>
          <cell r="CD3" t="str">
            <v>-</v>
          </cell>
          <cell r="CE3" t="str">
            <v>-</v>
          </cell>
        </row>
        <row r="4">
          <cell r="C4" t="str">
            <v>ANDES SOLAR III SPA</v>
          </cell>
          <cell r="D4" t="str">
            <v>PFV ANDES SOLAR III</v>
          </cell>
          <cell r="M4" t="str">
            <v>Existente</v>
          </cell>
          <cell r="CD4" t="str">
            <v>-</v>
          </cell>
          <cell r="CE4" t="str">
            <v>-</v>
          </cell>
        </row>
        <row r="5">
          <cell r="C5" t="str">
            <v>GR PIÑOL SPA</v>
          </cell>
          <cell r="D5" t="str">
            <v>PFV CALEU</v>
          </cell>
          <cell r="M5" t="str">
            <v>-</v>
          </cell>
          <cell r="CD5" t="str">
            <v>-</v>
          </cell>
          <cell r="CE5" t="str">
            <v>-</v>
          </cell>
        </row>
        <row r="6">
          <cell r="C6" t="str">
            <v>GR ALGARROBO SPA</v>
          </cell>
          <cell r="D6" t="str">
            <v>PFV GRAN TENO</v>
          </cell>
          <cell r="M6" t="str">
            <v>Construcción</v>
          </cell>
          <cell r="CD6">
            <v>340.36306314953293</v>
          </cell>
          <cell r="CE6">
            <v>340.36306314953293</v>
          </cell>
        </row>
        <row r="7">
          <cell r="C7" t="str">
            <v>ANDES SOLAR II SPA</v>
          </cell>
          <cell r="D7" t="str">
            <v>PFV ANDES SOLAR II</v>
          </cell>
          <cell r="M7" t="str">
            <v>Existente</v>
          </cell>
          <cell r="CD7">
            <v>261.63933396239332</v>
          </cell>
          <cell r="CE7">
            <v>154.25090610149064</v>
          </cell>
        </row>
        <row r="8">
          <cell r="C8" t="str">
            <v>ENGIE ENERGÍA CHILE S.A.</v>
          </cell>
          <cell r="D8" t="str">
            <v>PFV TAMAYA SOLAR</v>
          </cell>
          <cell r="M8" t="str">
            <v>Existente</v>
          </cell>
          <cell r="CD8">
            <v>258.53120988875185</v>
          </cell>
          <cell r="CE8">
            <v>116.69232684199737</v>
          </cell>
        </row>
        <row r="9">
          <cell r="C9" t="str">
            <v>DOÑA ANTONIA SOLAR SPA</v>
          </cell>
          <cell r="D9" t="str">
            <v>PFV DOÑA ANTONIA</v>
          </cell>
          <cell r="M9" t="str">
            <v>Construcción</v>
          </cell>
          <cell r="CD9">
            <v>225.14796721950631</v>
          </cell>
          <cell r="CE9">
            <v>225.14796721950631</v>
          </cell>
        </row>
        <row r="10">
          <cell r="C10" t="str">
            <v>ARCADIA GENERACIÓN SOLAR S.A.</v>
          </cell>
          <cell r="D10" t="str">
            <v>PFV DIEGO DE ALMAGRO</v>
          </cell>
          <cell r="M10" t="str">
            <v>-</v>
          </cell>
          <cell r="CD10">
            <v>212.91676434569115</v>
          </cell>
          <cell r="CE10">
            <v>190.90031470068843</v>
          </cell>
        </row>
        <row r="11">
          <cell r="C11" t="str">
            <v>ENERGÍA CERRO EL MORADO S.A.</v>
          </cell>
          <cell r="D11" t="str">
            <v>PFV DOÑA CARMEN SOLAR</v>
          </cell>
          <cell r="M11" t="str">
            <v>-</v>
          </cell>
          <cell r="CD11">
            <v>184.07262385643253</v>
          </cell>
          <cell r="CE11">
            <v>173.34955912683731</v>
          </cell>
        </row>
        <row r="12">
          <cell r="C12" t="str">
            <v>ENLIGHT INVESTMENTS SPA</v>
          </cell>
          <cell r="D12" t="str">
            <v>PFV LA HUAYCA II</v>
          </cell>
          <cell r="M12" t="str">
            <v>-</v>
          </cell>
          <cell r="CD12">
            <v>182.41667069729561</v>
          </cell>
          <cell r="CE12">
            <v>145.62272360314196</v>
          </cell>
        </row>
        <row r="13">
          <cell r="C13" t="str">
            <v>ENEL GREEN POWER CHILE S.A.</v>
          </cell>
          <cell r="D13" t="str">
            <v>PFV CHAÑARES</v>
          </cell>
          <cell r="M13" t="str">
            <v>-</v>
          </cell>
          <cell r="CD13">
            <v>178.3717745686545</v>
          </cell>
          <cell r="CE13">
            <v>160.32307404988748</v>
          </cell>
        </row>
        <row r="14">
          <cell r="C14" t="str">
            <v>GENERACIÓN SOLAR SPA</v>
          </cell>
          <cell r="D14" t="str">
            <v>PFV MARIA ELENA</v>
          </cell>
          <cell r="M14" t="str">
            <v>Existente + Construcción</v>
          </cell>
          <cell r="CD14">
            <v>165.40925469740816</v>
          </cell>
          <cell r="CE14">
            <v>164.3939197409471</v>
          </cell>
        </row>
        <row r="15">
          <cell r="C15" t="str">
            <v>CHUNGUNGO S.A.</v>
          </cell>
          <cell r="D15" t="str">
            <v>PFV QUILAPILUN</v>
          </cell>
          <cell r="M15" t="str">
            <v>-</v>
          </cell>
          <cell r="CD15">
            <v>159.96688852477408</v>
          </cell>
          <cell r="CE15">
            <v>150.66054694362239</v>
          </cell>
        </row>
        <row r="16">
          <cell r="C16" t="str">
            <v>POZO ALMONTE SOLAR 3 S.A.</v>
          </cell>
          <cell r="D16" t="str">
            <v>PFV POZO ALMONTE SOLAR III</v>
          </cell>
          <cell r="M16" t="str">
            <v>-</v>
          </cell>
          <cell r="CD16">
            <v>155.71867874430706</v>
          </cell>
          <cell r="CE16">
            <v>128.62108734359308</v>
          </cell>
        </row>
        <row r="17">
          <cell r="C17" t="str">
            <v>ARCADIA GENERACIÓN SOLAR S.A.</v>
          </cell>
          <cell r="D17" t="str">
            <v>PFV CARRERA PINTO</v>
          </cell>
          <cell r="M17" t="str">
            <v>-</v>
          </cell>
          <cell r="CD17">
            <v>155.50186037465843</v>
          </cell>
          <cell r="CE17">
            <v>131.2541894992178</v>
          </cell>
        </row>
        <row r="18">
          <cell r="C18" t="str">
            <v>JAVIERA SPA</v>
          </cell>
          <cell r="D18" t="str">
            <v>PFV JAVIERA</v>
          </cell>
          <cell r="M18" t="str">
            <v>-</v>
          </cell>
          <cell r="CD18">
            <v>151.54931562087606</v>
          </cell>
          <cell r="CE18">
            <v>153.36115611189666</v>
          </cell>
        </row>
        <row r="19">
          <cell r="C19" t="str">
            <v>ACCIONA ENERGÍA CHILE HOLDINGS S.A.</v>
          </cell>
          <cell r="D19" t="str">
            <v>PFV EL ROMERO</v>
          </cell>
          <cell r="M19" t="str">
            <v>-</v>
          </cell>
          <cell r="CD19">
            <v>150.53150087405055</v>
          </cell>
          <cell r="CE19">
            <v>126.29025312310564</v>
          </cell>
        </row>
        <row r="20">
          <cell r="C20" t="str">
            <v>AMANECER SOLAR SPA</v>
          </cell>
          <cell r="D20" t="str">
            <v>PFV LLANO DE LLAMPOS</v>
          </cell>
          <cell r="M20" t="str">
            <v>-</v>
          </cell>
          <cell r="CD20">
            <v>147.10751532332384</v>
          </cell>
          <cell r="CE20">
            <v>142.61474714826912</v>
          </cell>
        </row>
        <row r="21">
          <cell r="C21" t="str">
            <v>ENEL GREEN POWER CHILE S.A.</v>
          </cell>
          <cell r="D21" t="str">
            <v>PFV LALACKAMA</v>
          </cell>
          <cell r="M21" t="str">
            <v>-</v>
          </cell>
          <cell r="CD21">
            <v>143.37493574349742</v>
          </cell>
          <cell r="CE21">
            <v>133.7946701446663</v>
          </cell>
        </row>
        <row r="22">
          <cell r="C22" t="str">
            <v>ENEL GREEN POWER CHILE S.A.</v>
          </cell>
          <cell r="D22" t="str">
            <v>PFV LALACKAMA II</v>
          </cell>
          <cell r="M22" t="str">
            <v>-</v>
          </cell>
          <cell r="CD22">
            <v>142.23624220911466</v>
          </cell>
          <cell r="CE22">
            <v>134.57381133419318</v>
          </cell>
        </row>
        <row r="23">
          <cell r="C23" t="str">
            <v>PLANTA SOLAR SAN PEDRO III SPA</v>
          </cell>
          <cell r="D23" t="str">
            <v>PFV JAMA</v>
          </cell>
          <cell r="M23" t="str">
            <v>-</v>
          </cell>
          <cell r="CD23">
            <v>137.30925624718762</v>
          </cell>
          <cell r="CE23">
            <v>123.4689482698556</v>
          </cell>
        </row>
        <row r="24">
          <cell r="C24" t="str">
            <v>PARQUE SOLAR FOTOVOLTAICO LUZ DEL NORTE SPA</v>
          </cell>
          <cell r="D24" t="str">
            <v>PFV LUZ DEL NORTE</v>
          </cell>
          <cell r="M24" t="str">
            <v>Construcción</v>
          </cell>
          <cell r="CD24">
            <v>134.08829640288874</v>
          </cell>
          <cell r="CE24">
            <v>118.82812570112476</v>
          </cell>
        </row>
        <row r="25">
          <cell r="C25" t="str">
            <v>ENEL GREEN POWER CHILE S.A.</v>
          </cell>
          <cell r="D25" t="str">
            <v>PFV DON HUMBERTO</v>
          </cell>
          <cell r="M25" t="str">
            <v>Existente</v>
          </cell>
          <cell r="CD25">
            <v>130.48572110243344</v>
          </cell>
          <cell r="CE25">
            <v>130.48572110243344</v>
          </cell>
        </row>
        <row r="26">
          <cell r="C26" t="str">
            <v>ARCADIA GENERACIÓN SOLAR S.A.</v>
          </cell>
          <cell r="D26" t="str">
            <v>PFV PAMPA SOLAR NORTE</v>
          </cell>
          <cell r="M26" t="str">
            <v>-</v>
          </cell>
          <cell r="CD26">
            <v>127.45927135686706</v>
          </cell>
          <cell r="CE26">
            <v>117.55952975574159</v>
          </cell>
        </row>
        <row r="27">
          <cell r="C27" t="str">
            <v>ENGIE ENERGÍA CHILE S.A.</v>
          </cell>
          <cell r="D27" t="str">
            <v>PFV CAPRICORNIO</v>
          </cell>
          <cell r="M27" t="str">
            <v>Existente</v>
          </cell>
          <cell r="CD27">
            <v>120.86019668952748</v>
          </cell>
          <cell r="CE27">
            <v>77.673577614814533</v>
          </cell>
        </row>
        <row r="28">
          <cell r="C28" t="str">
            <v>ANDES SOLAR SPA</v>
          </cell>
          <cell r="D28" t="str">
            <v>PFV ANDES SOLAR</v>
          </cell>
          <cell r="M28" t="str">
            <v>-</v>
          </cell>
          <cell r="CD28">
            <v>117.00468059513956</v>
          </cell>
          <cell r="CE28">
            <v>107.06022465930636</v>
          </cell>
        </row>
        <row r="29">
          <cell r="C29" t="str">
            <v>COPEC RENOVABLES SPA</v>
          </cell>
          <cell r="D29" t="str">
            <v>PFV GRANJA SOLAR</v>
          </cell>
          <cell r="M29" t="str">
            <v>Construcción</v>
          </cell>
          <cell r="CD29">
            <v>115.95328370578751</v>
          </cell>
          <cell r="CE29">
            <v>73.249911595920381</v>
          </cell>
        </row>
        <row r="30">
          <cell r="C30" t="str">
            <v>SOLAR ELENA SPA</v>
          </cell>
          <cell r="D30" t="str">
            <v>PFV ELENA</v>
          </cell>
          <cell r="M30" t="str">
            <v>Existente</v>
          </cell>
          <cell r="CD30">
            <v>113.47776926480164</v>
          </cell>
          <cell r="CE30">
            <v>77.517731576601136</v>
          </cell>
        </row>
        <row r="31">
          <cell r="C31" t="str">
            <v>SANTIAGO SOLAR S.A.</v>
          </cell>
          <cell r="D31" t="str">
            <v>PFV SANTIAGO SOLAR</v>
          </cell>
          <cell r="M31" t="str">
            <v>-</v>
          </cell>
          <cell r="CD31">
            <v>106.19134821796176</v>
          </cell>
          <cell r="CE31">
            <v>106.46671004953231</v>
          </cell>
        </row>
        <row r="32">
          <cell r="C32" t="str">
            <v>ENEL GREEN POWER CHILE S.A.</v>
          </cell>
          <cell r="D32" t="str">
            <v>PFV FINIS TERRAE</v>
          </cell>
          <cell r="M32" t="str">
            <v>-</v>
          </cell>
          <cell r="CD32">
            <v>105.61995670504089</v>
          </cell>
          <cell r="CE32">
            <v>100.36528779080838</v>
          </cell>
        </row>
        <row r="33">
          <cell r="C33" t="str">
            <v>ACCIONA ENERGÍA CHILE HOLDINGS S.A.</v>
          </cell>
          <cell r="D33" t="str">
            <v>PFV USYA</v>
          </cell>
          <cell r="M33" t="str">
            <v>-</v>
          </cell>
          <cell r="CD33">
            <v>101.99069847540675</v>
          </cell>
          <cell r="CE33">
            <v>71.964555409210689</v>
          </cell>
        </row>
        <row r="34">
          <cell r="C34" t="str">
            <v>PARQUE SOLAR TANGUA SPA</v>
          </cell>
          <cell r="D34" t="str">
            <v>PFV TUTUVEN</v>
          </cell>
          <cell r="M34" t="str">
            <v>-</v>
          </cell>
          <cell r="CD34">
            <v>101.75430493021173</v>
          </cell>
          <cell r="CE34" t="str">
            <v>-</v>
          </cell>
        </row>
        <row r="35">
          <cell r="C35" t="str">
            <v>CONEJO SOLAR SPA</v>
          </cell>
          <cell r="D35" t="str">
            <v>PFV CONEJO SOLAR</v>
          </cell>
          <cell r="M35" t="str">
            <v>-</v>
          </cell>
          <cell r="CD35">
            <v>97.844422713934776</v>
          </cell>
          <cell r="CE35">
            <v>97.238183111387499</v>
          </cell>
        </row>
        <row r="36">
          <cell r="C36" t="str">
            <v>OPDENERGY GENERACIÓN SPA</v>
          </cell>
          <cell r="D36" t="str">
            <v>PFV SOL DE LOS ANDES</v>
          </cell>
          <cell r="M36" t="str">
            <v>Existente</v>
          </cell>
          <cell r="CD36">
            <v>96.151671241546708</v>
          </cell>
          <cell r="CE36">
            <v>63.301005566807682</v>
          </cell>
        </row>
        <row r="37">
          <cell r="C37" t="str">
            <v>COPIAPÓ SOLAR SPA</v>
          </cell>
          <cell r="D37" t="str">
            <v>PFV DESIERTO DE ATACAMA</v>
          </cell>
          <cell r="M37" t="str">
            <v>Existente</v>
          </cell>
          <cell r="CD37">
            <v>95.889787690443541</v>
          </cell>
          <cell r="CE37" t="str">
            <v>-</v>
          </cell>
        </row>
        <row r="38">
          <cell r="C38" t="str">
            <v>BOLERO SPA</v>
          </cell>
          <cell r="D38" t="str">
            <v>PFV BOLERO</v>
          </cell>
          <cell r="M38" t="str">
            <v>Existente</v>
          </cell>
          <cell r="CD38">
            <v>95.498581478081192</v>
          </cell>
          <cell r="CE38">
            <v>91.571363913723303</v>
          </cell>
        </row>
        <row r="39">
          <cell r="C39" t="str">
            <v>AELA GENERACIÓN S.A.</v>
          </cell>
          <cell r="D39" t="str">
            <v>PFV SALVADOR</v>
          </cell>
          <cell r="M39" t="str">
            <v>Existente</v>
          </cell>
          <cell r="CD39">
            <v>93.607486248881401</v>
          </cell>
          <cell r="CE39">
            <v>279.63938708891095</v>
          </cell>
        </row>
        <row r="40">
          <cell r="C40" t="str">
            <v>TSGF SPA</v>
          </cell>
          <cell r="D40" t="str">
            <v>PFV SANTA ISABEL</v>
          </cell>
          <cell r="M40" t="str">
            <v>-</v>
          </cell>
          <cell r="CD40">
            <v>92.990504377886353</v>
          </cell>
          <cell r="CE40">
            <v>137.26143535275247</v>
          </cell>
        </row>
        <row r="41">
          <cell r="C41" t="str">
            <v>ENEL GREEN POWER CHILE S.A.</v>
          </cell>
          <cell r="D41" t="str">
            <v>PFV GUANCHOI</v>
          </cell>
          <cell r="M41" t="str">
            <v>-</v>
          </cell>
          <cell r="CD41">
            <v>92.236964944062848</v>
          </cell>
          <cell r="CE41">
            <v>68.858303116464398</v>
          </cell>
        </row>
        <row r="42">
          <cell r="C42" t="str">
            <v>ENEL GREEN POWER CHILE S.A.</v>
          </cell>
          <cell r="D42" t="str">
            <v>PFV SOL DE LILA</v>
          </cell>
          <cell r="M42" t="str">
            <v>-</v>
          </cell>
          <cell r="CD42">
            <v>91.398662501573469</v>
          </cell>
          <cell r="CE42">
            <v>58.595599722111082</v>
          </cell>
        </row>
        <row r="43">
          <cell r="C43" t="str">
            <v>ENEL GREEN POWER CHILE S.A.</v>
          </cell>
          <cell r="D43" t="str">
            <v>PFV AZABACHE</v>
          </cell>
          <cell r="M43" t="str">
            <v>Construcción</v>
          </cell>
          <cell r="CD43">
            <v>90.663901448570243</v>
          </cell>
          <cell r="CE43">
            <v>58.308560240126781</v>
          </cell>
        </row>
        <row r="44">
          <cell r="C44" t="str">
            <v>EL PELÍCANO SOLAR COMPANY SPA</v>
          </cell>
          <cell r="D44" t="str">
            <v>PFV EL PELICANO</v>
          </cell>
          <cell r="M44" t="str">
            <v>Construcción</v>
          </cell>
          <cell r="CD44">
            <v>87.353465167615525</v>
          </cell>
          <cell r="CE44">
            <v>85.46269087234684</v>
          </cell>
        </row>
        <row r="45">
          <cell r="C45" t="str">
            <v>CERRO DOMINADOR CSP S.A.</v>
          </cell>
          <cell r="D45" t="str">
            <v>PFV CERRO DOMINADOR</v>
          </cell>
          <cell r="M45" t="str">
            <v>-</v>
          </cell>
          <cell r="CD45">
            <v>81.329008645014241</v>
          </cell>
          <cell r="CE45">
            <v>78.097831211286106</v>
          </cell>
        </row>
        <row r="46">
          <cell r="C46" t="str">
            <v>FOTOVOLTAICA NORTE GRANDE 5 SPA</v>
          </cell>
          <cell r="D46" t="str">
            <v>PFV URIBE SOLAR</v>
          </cell>
          <cell r="M46" t="str">
            <v>Existente</v>
          </cell>
          <cell r="CD46">
            <v>77.489457860750406</v>
          </cell>
          <cell r="CE46">
            <v>96.082038641272788</v>
          </cell>
        </row>
        <row r="47">
          <cell r="C47" t="str">
            <v>AELA GENERACIÓN S.A.</v>
          </cell>
          <cell r="D47" t="str">
            <v>PFV SAN ANDRES</v>
          </cell>
          <cell r="M47" t="str">
            <v>Existente + Construcción</v>
          </cell>
          <cell r="CD47">
            <v>76.428287381574279</v>
          </cell>
          <cell r="CE47">
            <v>213.69474255136006</v>
          </cell>
        </row>
        <row r="48">
          <cell r="C48" t="str">
            <v>PARQUE FOTOVOLTAICO NUEVO QUILLAGUA SPA</v>
          </cell>
          <cell r="D48" t="str">
            <v>PFV NUEVO QUILLAGUA</v>
          </cell>
          <cell r="M48" t="str">
            <v>Existente</v>
          </cell>
          <cell r="CD48">
            <v>74.352491824072459</v>
          </cell>
          <cell r="CE48">
            <v>62.959486745461732</v>
          </cell>
        </row>
        <row r="49">
          <cell r="C49" t="str">
            <v>ACCIONA ENERGÍA CHILE HOLDINGS S.A.</v>
          </cell>
          <cell r="D49" t="str">
            <v>PFV ALMEYDA</v>
          </cell>
          <cell r="M49" t="str">
            <v>-</v>
          </cell>
          <cell r="CD49">
            <v>72.185778981537624</v>
          </cell>
          <cell r="CE49">
            <v>56.377157688509307</v>
          </cell>
        </row>
        <row r="50">
          <cell r="C50" t="str">
            <v>ARCADIA GENERACIÓN SOLAR S.A.</v>
          </cell>
          <cell r="D50" t="str">
            <v>PFV DOMEYKO</v>
          </cell>
          <cell r="M50" t="str">
            <v>-</v>
          </cell>
          <cell r="CD50">
            <v>67.586701086894706</v>
          </cell>
          <cell r="CE50">
            <v>63.121847506757014</v>
          </cell>
        </row>
        <row r="51">
          <cell r="C51" t="str">
            <v>PARQUE FOTOVOLTAICO NUEVO QUILLAGUA SPA</v>
          </cell>
          <cell r="D51" t="str">
            <v>PFV NUEVO QUILLAGUA II</v>
          </cell>
          <cell r="M51" t="str">
            <v>Existente</v>
          </cell>
          <cell r="CD51">
            <v>63.442273740022721</v>
          </cell>
          <cell r="CE51" t="str">
            <v>-</v>
          </cell>
        </row>
        <row r="52">
          <cell r="C52" t="str">
            <v>CÓNDOR ENERGÍA SPA</v>
          </cell>
          <cell r="D52" t="str">
            <v>PFV RIO ESCONDIDO</v>
          </cell>
          <cell r="M52" t="str">
            <v>-</v>
          </cell>
          <cell r="CD52">
            <v>63.352321353673524</v>
          </cell>
          <cell r="CE52">
            <v>58.213209897553845</v>
          </cell>
        </row>
        <row r="53">
          <cell r="C53" t="str">
            <v>PARQUE SOLAR LEYDA SPA</v>
          </cell>
          <cell r="D53" t="str">
            <v>PFV LEYDA</v>
          </cell>
          <cell r="M53" t="str">
            <v>-</v>
          </cell>
          <cell r="CD53">
            <v>62.577762755201285</v>
          </cell>
          <cell r="CE53" t="str">
            <v>-</v>
          </cell>
        </row>
        <row r="54">
          <cell r="C54" t="str">
            <v>ATACAMA SOLAR SPA</v>
          </cell>
          <cell r="D54" t="str">
            <v>PFV ATACAMA SOLAR II</v>
          </cell>
          <cell r="M54" t="str">
            <v>Construcción</v>
          </cell>
          <cell r="CD54">
            <v>62.216151585762177</v>
          </cell>
          <cell r="CE54">
            <v>51.173475954890485</v>
          </cell>
        </row>
        <row r="55">
          <cell r="C55" t="str">
            <v>INVERSIONES FOTOVOLTAICAS SPA</v>
          </cell>
          <cell r="D55" t="str">
            <v>PFV WILLKA</v>
          </cell>
          <cell r="M55" t="str">
            <v>Construcción</v>
          </cell>
          <cell r="CD55">
            <v>60.129708168778912</v>
          </cell>
          <cell r="CE55">
            <v>60.129708168778912</v>
          </cell>
        </row>
        <row r="56">
          <cell r="C56" t="str">
            <v>SOLAR LOS LOROS SPA</v>
          </cell>
          <cell r="D56" t="str">
            <v>PFV LOS LOROS</v>
          </cell>
          <cell r="M56" t="str">
            <v>Existente</v>
          </cell>
          <cell r="CD56">
            <v>58.793466696212718</v>
          </cell>
          <cell r="CE56">
            <v>98.698739826924182</v>
          </cell>
        </row>
        <row r="57">
          <cell r="C57" t="str">
            <v>IBEREÓLICA CABO LEONES II S.A.</v>
          </cell>
          <cell r="D57" t="str">
            <v>PFV SAN PEDRO</v>
          </cell>
          <cell r="M57" t="str">
            <v>-</v>
          </cell>
          <cell r="CD57">
            <v>56.184687451190754</v>
          </cell>
          <cell r="CE57">
            <v>51.658946411605257</v>
          </cell>
        </row>
        <row r="58">
          <cell r="C58" t="str">
            <v>AUSTRIANSOLAR CHILE SEIS SPA</v>
          </cell>
          <cell r="D58" t="str">
            <v>PFV LA HUELLA</v>
          </cell>
          <cell r="M58" t="str">
            <v>-</v>
          </cell>
          <cell r="CD58">
            <v>56.144466313767701</v>
          </cell>
          <cell r="CE58">
            <v>53.422824583531359</v>
          </cell>
        </row>
        <row r="59">
          <cell r="C59" t="str">
            <v>GM HOLDINGS S.A.</v>
          </cell>
          <cell r="D59" t="str">
            <v>PFV CEME 1</v>
          </cell>
          <cell r="M59" t="str">
            <v>-</v>
          </cell>
          <cell r="CD59">
            <v>54.991027424735762</v>
          </cell>
          <cell r="CE59">
            <v>54.991027424735762</v>
          </cell>
        </row>
        <row r="60">
          <cell r="C60" t="str">
            <v>HUEMUL ENERGÍA SPA</v>
          </cell>
          <cell r="D60" t="str">
            <v>PFV VALLE ESCONDIDO</v>
          </cell>
          <cell r="M60" t="str">
            <v>-</v>
          </cell>
          <cell r="CD60">
            <v>53.365144868727548</v>
          </cell>
          <cell r="CE60">
            <v>48.561374555411653</v>
          </cell>
        </row>
        <row r="61">
          <cell r="C61" t="str">
            <v>ACCIONA ENERGÍA CHILE HOLDINGS S.A.</v>
          </cell>
          <cell r="D61" t="str">
            <v>PFV MALGARIDA</v>
          </cell>
          <cell r="M61" t="str">
            <v>Construcción</v>
          </cell>
          <cell r="CD61">
            <v>52.474910346048155</v>
          </cell>
          <cell r="CE61">
            <v>45.817189558298132</v>
          </cell>
        </row>
        <row r="62">
          <cell r="C62" t="str">
            <v>PARQUE SOLAR FOTOVOLTAICO SOL DEL DESIERTO SPA</v>
          </cell>
          <cell r="D62" t="str">
            <v>PFV SOL DEL DESIERTO</v>
          </cell>
          <cell r="M62" t="str">
            <v>-</v>
          </cell>
          <cell r="CD62">
            <v>51.957857043217196</v>
          </cell>
          <cell r="CE62">
            <v>45.171683907763743</v>
          </cell>
        </row>
        <row r="63">
          <cell r="C63" t="str">
            <v>TAMARICO SOLAR DOS SPA</v>
          </cell>
          <cell r="D63" t="str">
            <v>PFV TAMARICO</v>
          </cell>
          <cell r="M63" t="str">
            <v>Construcción</v>
          </cell>
          <cell r="CD63">
            <v>51.529372024830337</v>
          </cell>
          <cell r="CE63" t="str">
            <v>-</v>
          </cell>
        </row>
        <row r="64">
          <cell r="C64" t="str">
            <v>AUSTRIANSOLAR CHILE CUATRO SPA</v>
          </cell>
          <cell r="D64" t="str">
            <v>PFV HUATACONDO</v>
          </cell>
          <cell r="M64" t="str">
            <v>Existente</v>
          </cell>
          <cell r="CD64">
            <v>50.304776192582921</v>
          </cell>
          <cell r="CE64">
            <v>60.987509864450338</v>
          </cell>
        </row>
        <row r="65">
          <cell r="C65" t="str">
            <v>PLANTA SOLAR TOCOPILLA SPA</v>
          </cell>
          <cell r="D65" t="str">
            <v>PFV TAIRA</v>
          </cell>
          <cell r="M65" t="str">
            <v>Construcción</v>
          </cell>
          <cell r="CD65">
            <v>47.729667818285435</v>
          </cell>
          <cell r="CE65">
            <v>47.729667818285435</v>
          </cell>
        </row>
        <row r="66">
          <cell r="C66" t="str">
            <v>FOTOVOLTAICA NORTE GRANDE 5 SPA</v>
          </cell>
          <cell r="D66" t="str">
            <v>PFV LA CRUZ SOLAR</v>
          </cell>
          <cell r="M66" t="str">
            <v>-</v>
          </cell>
          <cell r="CD66">
            <v>47.267385112566615</v>
          </cell>
          <cell r="CE66">
            <v>43.797716855137359</v>
          </cell>
        </row>
        <row r="67">
          <cell r="C67" t="str">
            <v>SONNEDIX COX ENERGY CHILE SPA</v>
          </cell>
          <cell r="D67" t="str">
            <v>PFV MESETA DE LOS ANDES</v>
          </cell>
          <cell r="M67" t="str">
            <v>-</v>
          </cell>
          <cell r="CD67">
            <v>46.921269641603153</v>
          </cell>
          <cell r="CE67">
            <v>53.406650841276864</v>
          </cell>
        </row>
        <row r="68">
          <cell r="C68" t="str">
            <v>ENEL GREEN POWER CHILE S.A.</v>
          </cell>
          <cell r="D68" t="str">
            <v>PFV VALLE DEL SOL</v>
          </cell>
          <cell r="M68" t="str">
            <v>-</v>
          </cell>
          <cell r="CD68">
            <v>46.780683612984056</v>
          </cell>
          <cell r="CE68">
            <v>45.575537933172924</v>
          </cell>
        </row>
        <row r="69">
          <cell r="C69" t="str">
            <v>COLBÚN S.A.</v>
          </cell>
          <cell r="D69" t="str">
            <v>PFV DIEGO DE ALMAGRO SUR</v>
          </cell>
          <cell r="M69" t="str">
            <v>Existente + Construcción</v>
          </cell>
          <cell r="CD69">
            <v>46.749751407992996</v>
          </cell>
          <cell r="CE69">
            <v>44.137096524689632</v>
          </cell>
        </row>
        <row r="70">
          <cell r="C70" t="str">
            <v>HUEMUL ENERGÍA SPA</v>
          </cell>
          <cell r="D70" t="str">
            <v>PFV PAMPA TIGRE</v>
          </cell>
          <cell r="M70" t="str">
            <v>-</v>
          </cell>
          <cell r="CD70">
            <v>45.758832419612908</v>
          </cell>
          <cell r="CE70">
            <v>44.415675626314659</v>
          </cell>
        </row>
        <row r="71">
          <cell r="C71" t="str">
            <v>ANDES SOLAR II SPA</v>
          </cell>
          <cell r="D71" t="str">
            <v>PFV ANDES SOLAR II-B</v>
          </cell>
          <cell r="M71" t="str">
            <v>Existente</v>
          </cell>
          <cell r="CD71">
            <v>45.353967057396005</v>
          </cell>
          <cell r="CE71">
            <v>50.634977400775256</v>
          </cell>
        </row>
        <row r="72">
          <cell r="C72" t="str">
            <v>ENEL GREEN POWER CHILE S.A.</v>
          </cell>
          <cell r="D72" t="str">
            <v>PFV LAS SALINAS</v>
          </cell>
          <cell r="M72" t="str">
            <v>Construcción</v>
          </cell>
          <cell r="CD72">
            <v>44.183957855804358</v>
          </cell>
          <cell r="CE72">
            <v>44.183957855804358</v>
          </cell>
        </row>
        <row r="73">
          <cell r="C73" t="str">
            <v>ENEL GREEN POWER CHILE S.A.</v>
          </cell>
          <cell r="D73" t="str">
            <v>PFV CAMPOS DEL SOL</v>
          </cell>
          <cell r="M73" t="str">
            <v>-</v>
          </cell>
          <cell r="CD73">
            <v>42.05189983405954</v>
          </cell>
          <cell r="CE73">
            <v>41.538774868871315</v>
          </cell>
        </row>
        <row r="74">
          <cell r="C74" t="str">
            <v>ENLASA GENERACIÓN CHILE S.A.</v>
          </cell>
          <cell r="D74" t="str">
            <v>PFV CHERCAN SOLAR</v>
          </cell>
          <cell r="M74" t="str">
            <v>-</v>
          </cell>
          <cell r="CD74">
            <v>41.377677526356848</v>
          </cell>
          <cell r="CE74">
            <v>41.055017791713098</v>
          </cell>
        </row>
        <row r="75">
          <cell r="C75" t="str">
            <v>ENGIE ENERGÍA CHILE S.A.</v>
          </cell>
          <cell r="D75" t="str">
            <v>PFV COYA</v>
          </cell>
          <cell r="M75" t="str">
            <v>Existente</v>
          </cell>
          <cell r="CD75">
            <v>39.133131346412249</v>
          </cell>
          <cell r="CE75">
            <v>38.573698507744766</v>
          </cell>
        </row>
        <row r="76">
          <cell r="C76" t="str">
            <v>ENEL GREEN POWER CHILE S.A.</v>
          </cell>
          <cell r="D76" t="str">
            <v>PFV MANZANO</v>
          </cell>
          <cell r="M76" t="str">
            <v>Existente</v>
          </cell>
          <cell r="CD76">
            <v>37.517513914770269</v>
          </cell>
          <cell r="CE76">
            <v>37.517513914770269</v>
          </cell>
        </row>
        <row r="77">
          <cell r="C77" t="str">
            <v>ANDES SOLAR IV SPA</v>
          </cell>
          <cell r="D77" t="str">
            <v>PFV ANDES SOLAR IV</v>
          </cell>
          <cell r="M77" t="str">
            <v>Existente</v>
          </cell>
          <cell r="CD77">
            <v>26.715633727325926</v>
          </cell>
          <cell r="CE77">
            <v>26.715633727325926</v>
          </cell>
        </row>
        <row r="78">
          <cell r="C78" t="str">
            <v>GR LIUN SPA</v>
          </cell>
          <cell r="D78" t="str">
            <v>PFV TAMANGO</v>
          </cell>
          <cell r="M78" t="str">
            <v>Construcción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>
        <row r="28">
          <cell r="A28" t="str">
            <v>PFV DOÑA ANTONIA</v>
          </cell>
          <cell r="M28">
            <v>37</v>
          </cell>
        </row>
        <row r="29">
          <cell r="A29" t="str">
            <v>PFV MARIA ELENA</v>
          </cell>
          <cell r="M29">
            <v>36</v>
          </cell>
        </row>
        <row r="30">
          <cell r="A30" t="str">
            <v>PFV SANTA ISABEL</v>
          </cell>
          <cell r="M30">
            <v>33</v>
          </cell>
        </row>
        <row r="31">
          <cell r="A31" t="str">
            <v>PFV ALMEYDA</v>
          </cell>
          <cell r="M31">
            <v>31</v>
          </cell>
        </row>
        <row r="32">
          <cell r="A32" t="str">
            <v>PFV LUZ DEL NORTE</v>
          </cell>
          <cell r="M32">
            <v>31</v>
          </cell>
        </row>
        <row r="33">
          <cell r="A33" t="str">
            <v>PFV DIEGO DE ALMAGRO</v>
          </cell>
          <cell r="M33">
            <v>31</v>
          </cell>
        </row>
        <row r="34">
          <cell r="A34" t="str">
            <v>PFV LA HUAYCA II</v>
          </cell>
          <cell r="M34">
            <v>30</v>
          </cell>
        </row>
        <row r="35">
          <cell r="A35" t="str">
            <v>PFV JAMA</v>
          </cell>
          <cell r="M35">
            <v>29</v>
          </cell>
        </row>
        <row r="36">
          <cell r="A36" t="str">
            <v>PFV BOLERO</v>
          </cell>
          <cell r="M36">
            <v>29</v>
          </cell>
        </row>
        <row r="37">
          <cell r="A37" t="str">
            <v>PFV CAPRICORNIO</v>
          </cell>
          <cell r="M37">
            <v>29</v>
          </cell>
        </row>
        <row r="38">
          <cell r="A38" t="str">
            <v>PFV VALLE ESCONDIDO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URIBE SOLAR</v>
          </cell>
          <cell r="M40">
            <v>28</v>
          </cell>
        </row>
        <row r="41">
          <cell r="A41" t="str">
            <v>PFV CARRERA PINTO</v>
          </cell>
          <cell r="M41">
            <v>28</v>
          </cell>
        </row>
        <row r="42">
          <cell r="A42" t="str">
            <v>PFV LOS LOROS</v>
          </cell>
          <cell r="M42">
            <v>28</v>
          </cell>
        </row>
        <row r="43">
          <cell r="A43" t="str">
            <v>PFV EL ROMERO</v>
          </cell>
          <cell r="M43">
            <v>28</v>
          </cell>
        </row>
        <row r="44">
          <cell r="A44" t="str">
            <v>PFV USYA</v>
          </cell>
          <cell r="M44">
            <v>28</v>
          </cell>
        </row>
        <row r="45">
          <cell r="A45" t="str">
            <v>PFV DON HUMBERTO</v>
          </cell>
          <cell r="M45">
            <v>28</v>
          </cell>
        </row>
        <row r="46">
          <cell r="A46" t="str">
            <v>PFV TAMARICO</v>
          </cell>
          <cell r="M46">
            <v>28</v>
          </cell>
        </row>
        <row r="47">
          <cell r="A47" t="str">
            <v>PFV ANDES SOLAR II</v>
          </cell>
          <cell r="M47">
            <v>27</v>
          </cell>
        </row>
        <row r="48">
          <cell r="A48" t="str">
            <v>PFV ATACAMA SOLAR II</v>
          </cell>
          <cell r="M48">
            <v>27</v>
          </cell>
        </row>
        <row r="49">
          <cell r="A49" t="str">
            <v>PFV TAMAYA SOLAR</v>
          </cell>
          <cell r="M49">
            <v>27</v>
          </cell>
        </row>
        <row r="50">
          <cell r="A50" t="str">
            <v>PFV SALVADOR</v>
          </cell>
          <cell r="M50">
            <v>27</v>
          </cell>
        </row>
        <row r="51">
          <cell r="A51" t="str">
            <v>PFV TAMANGO</v>
          </cell>
          <cell r="M51">
            <v>27</v>
          </cell>
        </row>
        <row r="52">
          <cell r="A52" t="str">
            <v>PFV DOÑA CARMEN SOLAR</v>
          </cell>
          <cell r="M52">
            <v>27</v>
          </cell>
        </row>
        <row r="53">
          <cell r="A53" t="str">
            <v>PFV LEYDA</v>
          </cell>
          <cell r="M53">
            <v>27</v>
          </cell>
        </row>
        <row r="54">
          <cell r="A54" t="str">
            <v>PFV RIO ESCONDIDO</v>
          </cell>
          <cell r="M54">
            <v>26</v>
          </cell>
        </row>
        <row r="55">
          <cell r="A55" t="str">
            <v>PFV VALLE DEL SOL</v>
          </cell>
          <cell r="M55">
            <v>26</v>
          </cell>
        </row>
        <row r="56">
          <cell r="A56" t="str">
            <v>PFV EL PELICANO</v>
          </cell>
          <cell r="M56">
            <v>26</v>
          </cell>
        </row>
        <row r="57">
          <cell r="A57" t="str">
            <v>PFV GRANJA SOLAR</v>
          </cell>
          <cell r="M57">
            <v>26</v>
          </cell>
        </row>
        <row r="58">
          <cell r="A58" t="str">
            <v>PFV MANZANO</v>
          </cell>
          <cell r="M58">
            <v>26</v>
          </cell>
        </row>
        <row r="59">
          <cell r="A59" t="str">
            <v>PFV GRAN TENO</v>
          </cell>
          <cell r="M59">
            <v>26</v>
          </cell>
        </row>
        <row r="60">
          <cell r="A60" t="str">
            <v>PFV SAN ANDRES</v>
          </cell>
          <cell r="M60">
            <v>26</v>
          </cell>
        </row>
        <row r="61">
          <cell r="A61" t="str">
            <v>PFV WILLKA</v>
          </cell>
          <cell r="M61">
            <v>25</v>
          </cell>
        </row>
        <row r="62">
          <cell r="A62" t="str">
            <v>PFV HUATACONDO</v>
          </cell>
          <cell r="M62">
            <v>25</v>
          </cell>
        </row>
        <row r="63">
          <cell r="A63" t="str">
            <v>PFV SOL DE LILA</v>
          </cell>
          <cell r="M63">
            <v>24</v>
          </cell>
        </row>
        <row r="64">
          <cell r="A64" t="str">
            <v>PFV ELENA</v>
          </cell>
          <cell r="M64">
            <v>24</v>
          </cell>
        </row>
        <row r="65">
          <cell r="A65" t="str">
            <v>PFV LLANO DE LLAMPOS</v>
          </cell>
          <cell r="M65">
            <v>24</v>
          </cell>
        </row>
        <row r="66">
          <cell r="A66" t="str">
            <v>PFV ANDES SOLAR</v>
          </cell>
          <cell r="M66">
            <v>23</v>
          </cell>
        </row>
        <row r="67">
          <cell r="A67" t="str">
            <v>PFV JAVIERA</v>
          </cell>
          <cell r="M67">
            <v>23</v>
          </cell>
        </row>
        <row r="68">
          <cell r="A68" t="str">
            <v>PFV SOL DE LOS ANDES</v>
          </cell>
          <cell r="M68">
            <v>23</v>
          </cell>
        </row>
        <row r="69">
          <cell r="A69" t="str">
            <v>PFV COYA</v>
          </cell>
          <cell r="M69">
            <v>23</v>
          </cell>
        </row>
        <row r="70">
          <cell r="A70" t="str">
            <v>PFV SANTIAGO SOLAR</v>
          </cell>
          <cell r="M70">
            <v>23</v>
          </cell>
        </row>
        <row r="71">
          <cell r="A71" t="str">
            <v>PFV QUILAPILUN</v>
          </cell>
          <cell r="M71">
            <v>23</v>
          </cell>
        </row>
        <row r="72">
          <cell r="A72" t="str">
            <v>PFV LAS SALINAS</v>
          </cell>
          <cell r="M72">
            <v>22</v>
          </cell>
        </row>
        <row r="73">
          <cell r="A73" t="str">
            <v>PFV SAN PEDRO</v>
          </cell>
          <cell r="M73">
            <v>22</v>
          </cell>
        </row>
        <row r="74">
          <cell r="A74" t="str">
            <v>PFV AZABACHE</v>
          </cell>
          <cell r="M74">
            <v>22</v>
          </cell>
        </row>
        <row r="75">
          <cell r="A75" t="str">
            <v>PFV NUEVO QUILLAGUA II</v>
          </cell>
          <cell r="M75">
            <v>22</v>
          </cell>
        </row>
        <row r="76">
          <cell r="A76" t="str">
            <v>PFV CERRO DOMINADOR</v>
          </cell>
          <cell r="M76">
            <v>21</v>
          </cell>
        </row>
        <row r="77">
          <cell r="A77" t="str">
            <v>PFV ANDES SOLAR II-B</v>
          </cell>
          <cell r="M77">
            <v>21</v>
          </cell>
        </row>
        <row r="78">
          <cell r="A78" t="str">
            <v>PFV LALACKAMA</v>
          </cell>
          <cell r="M78">
            <v>21</v>
          </cell>
        </row>
        <row r="79">
          <cell r="A79" t="str">
            <v>PFV LA HUELLA</v>
          </cell>
          <cell r="M79">
            <v>21</v>
          </cell>
        </row>
        <row r="80">
          <cell r="A80" t="str">
            <v>PFV PAMPA SOLAR NORTE</v>
          </cell>
          <cell r="M80">
            <v>21</v>
          </cell>
        </row>
        <row r="81">
          <cell r="A81" t="str">
            <v>PFV MESETA DE LOS ANDES</v>
          </cell>
          <cell r="M81">
            <v>21</v>
          </cell>
        </row>
        <row r="82">
          <cell r="A82" t="str">
            <v>PFV ANDES SOLAR IV</v>
          </cell>
          <cell r="M82">
            <v>20</v>
          </cell>
        </row>
        <row r="83">
          <cell r="A83" t="str">
            <v>PFV LA CRUZ SOLAR</v>
          </cell>
          <cell r="M83">
            <v>20</v>
          </cell>
        </row>
        <row r="84">
          <cell r="A84" t="str">
            <v>PFV PAMPA TIGRE</v>
          </cell>
          <cell r="M84">
            <v>19</v>
          </cell>
        </row>
        <row r="85">
          <cell r="A85" t="str">
            <v>PFV CONEJO SOLAR</v>
          </cell>
          <cell r="M85">
            <v>18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ANDES SOLAR III</v>
          </cell>
          <cell r="M87">
            <v>10</v>
          </cell>
        </row>
        <row r="88">
          <cell r="A88" t="str">
            <v>PFV VICTOR JARA</v>
          </cell>
          <cell r="M88">
            <v>10</v>
          </cell>
        </row>
      </sheetData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I62"/>
  <sheetViews>
    <sheetView tabSelected="1" workbookViewId="0">
      <selection activeCell="C11" sqref="C11"/>
    </sheetView>
  </sheetViews>
  <sheetFormatPr defaultRowHeight="14.4" x14ac:dyDescent="0.3"/>
  <cols>
    <col min="1" max="1" width="26.109375" bestFit="1" customWidth="1"/>
    <col min="2" max="2" width="47.44140625" bestFit="1" customWidth="1"/>
    <col min="3" max="3" width="23" bestFit="1" customWidth="1"/>
    <col min="4" max="4" width="15.5546875" customWidth="1"/>
    <col min="5" max="5" width="14.5546875" customWidth="1"/>
    <col min="6" max="7" width="16.33203125" customWidth="1"/>
    <col min="8" max="8" width="13" customWidth="1"/>
    <col min="9" max="9" width="14" customWidth="1"/>
  </cols>
  <sheetData>
    <row r="1" spans="1:9" ht="43.2" x14ac:dyDescent="0.3">
      <c r="A1" s="1" t="s">
        <v>61</v>
      </c>
      <c r="B1" s="1" t="s">
        <v>67</v>
      </c>
      <c r="C1" s="1" t="s">
        <v>69</v>
      </c>
      <c r="D1" s="5" t="s">
        <v>68</v>
      </c>
      <c r="E1" s="5" t="s">
        <v>63</v>
      </c>
      <c r="F1" s="3" t="s">
        <v>62</v>
      </c>
      <c r="G1" s="7" t="s">
        <v>64</v>
      </c>
      <c r="H1" s="5" t="s">
        <v>65</v>
      </c>
      <c r="I1" s="5" t="s">
        <v>66</v>
      </c>
    </row>
    <row r="2" spans="1:9" x14ac:dyDescent="0.3">
      <c r="A2" t="s">
        <v>60</v>
      </c>
      <c r="B2" t="str">
        <f>_xlfn.XLOOKUP(A2,'[1]PFV Proyecto Puro'!$D$3:$D$78,'[1]PFV Proyecto Puro'!$C$3:$C$78,"---",0,1)</f>
        <v>GR CHAÑAR SPA</v>
      </c>
      <c r="C2" t="str">
        <f>_xlfn.XLOOKUP(A2,'[1]PFV Proyecto Puro'!$D$3:$D$78,'[1]PFV Proyecto Puro'!$M$3:$M$78,"---",0,1)</f>
        <v>-</v>
      </c>
      <c r="D2">
        <f>_xlfn.XLOOKUP(A2,'[1]SCORE Técnico 2025'!A$28:A$88,'[1]SCORE Técnico 2025'!M$28:M$88,"---",0,1)</f>
        <v>10</v>
      </c>
      <c r="E2">
        <f>_xlfn.XLOOKUP(A2,'[1]SCORE Técnico Promedio'!A$30:A$761,'[1]SCORE Técnico Promedio'!M$30:M$761,"---",0,1)</f>
        <v>10</v>
      </c>
      <c r="F2" s="4" t="str">
        <f>_xlfn.XLOOKUP(A2,'[1]PFV Proyecto Puro'!D$3:D$78,'[1]PFV Proyecto Puro'!CD$3:CD$78,"---",0,1)</f>
        <v>-</v>
      </c>
      <c r="G2" s="6" t="str">
        <f>_xlfn.XLOOKUP(A2,'[1]PFV Proyecto Puro'!D$3:D$78,'[1]PFV Proyecto Puro'!CE$3:CE$78,"---",0,1)</f>
        <v>-</v>
      </c>
      <c r="H2" t="str">
        <f>_xlfn.XLOOKUP(A2,'[1]SCORE comercial'!A$28:A$760,'[1]SCORE comercial'!H$28:H$760,"---",0,1)</f>
        <v>-</v>
      </c>
      <c r="I2" t="str">
        <f>_xlfn.XLOOKUP(A2,'[1]SCORE comercial'!A$28:A$760,'[1]SCORE comercial'!K$28:K$760,"---",0,1)</f>
        <v>-</v>
      </c>
    </row>
    <row r="3" spans="1:9" x14ac:dyDescent="0.3">
      <c r="A3" t="s">
        <v>58</v>
      </c>
      <c r="B3" t="str">
        <f>_xlfn.XLOOKUP(A3,'[1]PFV Proyecto Puro'!$D$3:$D$78,'[1]PFV Proyecto Puro'!$C$3:$C$78,"---",0,1)</f>
        <v>ANDES SOLAR III SPA</v>
      </c>
      <c r="C3" t="str">
        <f>_xlfn.XLOOKUP(A3,'[1]PFV Proyecto Puro'!$D$3:$D$78,'[1]PFV Proyecto Puro'!$M$3:$M$78,"---",0,1)</f>
        <v>Existente</v>
      </c>
      <c r="D3">
        <f>_xlfn.XLOOKUP(A3,'[1]SCORE Técnico 2025'!A$28:A$88,'[1]SCORE Técnico 2025'!M$28:M$88,"---",0,1)</f>
        <v>10</v>
      </c>
      <c r="E3">
        <f>_xlfn.XLOOKUP(A3,'[1]SCORE Técnico Promedio'!A$30:A$761,'[1]SCORE Técnico Promedio'!M$30:M$761,"---",0,1)</f>
        <v>10</v>
      </c>
      <c r="F3" s="4" t="str">
        <f>_xlfn.XLOOKUP(A3,'[1]PFV Proyecto Puro'!D$3:D$78,'[1]PFV Proyecto Puro'!CD$3:CD$78,"---",0,1)</f>
        <v>-</v>
      </c>
      <c r="G3" s="6" t="str">
        <f>_xlfn.XLOOKUP(A3,'[1]PFV Proyecto Puro'!D$3:D$78,'[1]PFV Proyecto Puro'!CE$3:CE$78,"---",0,1)</f>
        <v>-</v>
      </c>
      <c r="H3" t="str">
        <f>_xlfn.XLOOKUP(A3,'[1]SCORE comercial'!A$28:A$760,'[1]SCORE comercial'!H$28:H$760,"---",0,1)</f>
        <v>-</v>
      </c>
      <c r="I3" t="str">
        <f>_xlfn.XLOOKUP(A3,'[1]SCORE comercial'!A$28:A$760,'[1]SCORE comercial'!K$28:K$760,"---",0,1)</f>
        <v>-</v>
      </c>
    </row>
    <row r="4" spans="1:9" x14ac:dyDescent="0.3">
      <c r="A4" t="s">
        <v>53</v>
      </c>
      <c r="B4" t="str">
        <f>_xlfn.XLOOKUP(A4,'[1]PFV Proyecto Puro'!$D$3:$D$78,'[1]PFV Proyecto Puro'!$C$3:$C$78,"---",0,1)</f>
        <v>GR ALGARROBO SPA</v>
      </c>
      <c r="C4" t="str">
        <f>_xlfn.XLOOKUP(A4,'[1]PFV Proyecto Puro'!$D$3:$D$78,'[1]PFV Proyecto Puro'!$M$3:$M$78,"---",0,1)</f>
        <v>Construcción</v>
      </c>
      <c r="D4">
        <f>_xlfn.XLOOKUP(A4,'[1]SCORE Técnico 2025'!A$28:A$88,'[1]SCORE Técnico 2025'!M$28:M$88,"---",0,1)</f>
        <v>26</v>
      </c>
      <c r="E4">
        <f>_xlfn.XLOOKUP(A4,'[1]SCORE Técnico Promedio'!A$30:A$761,'[1]SCORE Técnico Promedio'!M$30:M$761,"---",0,1)</f>
        <v>26</v>
      </c>
      <c r="F4" s="4">
        <f>_xlfn.XLOOKUP(A4,'[1]PFV Proyecto Puro'!D$3:D$78,'[1]PFV Proyecto Puro'!CD$3:CD$78,"---",0,1)</f>
        <v>340.36306314953293</v>
      </c>
      <c r="G4" s="6">
        <f>_xlfn.XLOOKUP(A4,'[1]PFV Proyecto Puro'!D$3:D$78,'[1]PFV Proyecto Puro'!CE$3:CE$78,"---",0,1)</f>
        <v>340.36306314953293</v>
      </c>
      <c r="H4">
        <f>_xlfn.XLOOKUP(A4,'[1]SCORE comercial'!A$28:A$760,'[1]SCORE comercial'!H$28:H$760,"---",0,1)</f>
        <v>10</v>
      </c>
      <c r="I4">
        <f>_xlfn.XLOOKUP(A4,'[1]SCORE comercial'!A$28:A$760,'[1]SCORE comercial'!K$28:K$760,"---",0,1)</f>
        <v>10</v>
      </c>
    </row>
    <row r="5" spans="1:9" x14ac:dyDescent="0.3">
      <c r="A5" t="s">
        <v>27</v>
      </c>
      <c r="B5" t="str">
        <f>_xlfn.XLOOKUP(A5,'[1]PFV Proyecto Puro'!$D$3:$D$78,'[1]PFV Proyecto Puro'!$C$3:$C$78,"---",0,1)</f>
        <v>ANDES SOLAR II SPA</v>
      </c>
      <c r="C5" t="str">
        <f>_xlfn.XLOOKUP(A5,'[1]PFV Proyecto Puro'!$D$3:$D$78,'[1]PFV Proyecto Puro'!$M$3:$M$78,"---",0,1)</f>
        <v>Existente</v>
      </c>
      <c r="D5">
        <f>_xlfn.XLOOKUP(A5,'[1]SCORE Técnico 2025'!A$28:A$88,'[1]SCORE Técnico 2025'!M$28:M$88,"---",0,1)</f>
        <v>27</v>
      </c>
      <c r="E5">
        <f>_xlfn.XLOOKUP(A5,'[1]SCORE Técnico Promedio'!A$30:A$761,'[1]SCORE Técnico Promedio'!M$30:M$761,"---",0,1)</f>
        <v>25</v>
      </c>
      <c r="F5" s="4">
        <f>_xlfn.XLOOKUP(A5,'[1]PFV Proyecto Puro'!D$3:D$78,'[1]PFV Proyecto Puro'!CD$3:CD$78,"---",0,1)</f>
        <v>261.63933396239332</v>
      </c>
      <c r="G5" s="6">
        <f>_xlfn.XLOOKUP(A5,'[1]PFV Proyecto Puro'!D$3:D$78,'[1]PFV Proyecto Puro'!CE$3:CE$78,"---",0,1)</f>
        <v>154.25090610149064</v>
      </c>
      <c r="H5">
        <f>_xlfn.XLOOKUP(A5,'[1]SCORE comercial'!A$28:A$760,'[1]SCORE comercial'!H$28:H$760,"---",0,1)</f>
        <v>10</v>
      </c>
      <c r="I5">
        <f>_xlfn.XLOOKUP(A5,'[1]SCORE comercial'!A$28:A$760,'[1]SCORE comercial'!K$28:K$760,"---",0,1)</f>
        <v>9</v>
      </c>
    </row>
    <row r="6" spans="1:9" x14ac:dyDescent="0.3">
      <c r="A6" t="s">
        <v>42</v>
      </c>
      <c r="B6" t="str">
        <f>_xlfn.XLOOKUP(A6,'[1]PFV Proyecto Puro'!$D$3:$D$78,'[1]PFV Proyecto Puro'!$C$3:$C$78,"---",0,1)</f>
        <v>ENGIE ENERGÍA CHILE S.A.</v>
      </c>
      <c r="C6" t="str">
        <f>_xlfn.XLOOKUP(A6,'[1]PFV Proyecto Puro'!$D$3:$D$78,'[1]PFV Proyecto Puro'!$M$3:$M$78,"---",0,1)</f>
        <v>Existente</v>
      </c>
      <c r="D6">
        <f>_xlfn.XLOOKUP(A6,'[1]SCORE Técnico 2025'!A$28:A$88,'[1]SCORE Técnico 2025'!M$28:M$88,"---",0,1)</f>
        <v>27</v>
      </c>
      <c r="E6">
        <f>_xlfn.XLOOKUP(A6,'[1]SCORE Técnico Promedio'!A$30:A$761,'[1]SCORE Técnico Promedio'!M$30:M$761,"---",0,1)</f>
        <v>27</v>
      </c>
      <c r="F6" s="4">
        <f>_xlfn.XLOOKUP(A6,'[1]PFV Proyecto Puro'!D$3:D$78,'[1]PFV Proyecto Puro'!CD$3:CD$78,"---",0,1)</f>
        <v>258.53120988875185</v>
      </c>
      <c r="G6" s="6">
        <f>_xlfn.XLOOKUP(A6,'[1]PFV Proyecto Puro'!D$3:D$78,'[1]PFV Proyecto Puro'!CE$3:CE$78,"---",0,1)</f>
        <v>116.69232684199737</v>
      </c>
      <c r="H6">
        <f>_xlfn.XLOOKUP(A6,'[1]SCORE comercial'!A$28:A$760,'[1]SCORE comercial'!H$28:H$760,"---",0,1)</f>
        <v>10</v>
      </c>
      <c r="I6">
        <f>_xlfn.XLOOKUP(A6,'[1]SCORE comercial'!A$28:A$760,'[1]SCORE comercial'!K$28:K$760,"---",0,1)</f>
        <v>7</v>
      </c>
    </row>
    <row r="7" spans="1:9" x14ac:dyDescent="0.3">
      <c r="A7" t="s">
        <v>52</v>
      </c>
      <c r="B7" t="str">
        <f>_xlfn.XLOOKUP(A7,'[1]PFV Proyecto Puro'!$D$3:$D$78,'[1]PFV Proyecto Puro'!$C$3:$C$78,"---",0,1)</f>
        <v>DOÑA ANTONIA SOLAR SPA</v>
      </c>
      <c r="C7" t="str">
        <f>_xlfn.XLOOKUP(A7,'[1]PFV Proyecto Puro'!$D$3:$D$78,'[1]PFV Proyecto Puro'!$M$3:$M$78,"---",0,1)</f>
        <v>Construcción</v>
      </c>
      <c r="D7">
        <f>_xlfn.XLOOKUP(A7,'[1]SCORE Técnico 2025'!A$28:A$88,'[1]SCORE Técnico 2025'!M$28:M$88,"---",0,1)</f>
        <v>37</v>
      </c>
      <c r="E7">
        <f>_xlfn.XLOOKUP(A7,'[1]SCORE Técnico Promedio'!A$30:A$761,'[1]SCORE Técnico Promedio'!M$30:M$761,"---",0,1)</f>
        <v>37</v>
      </c>
      <c r="F7" s="4">
        <f>_xlfn.XLOOKUP(A7,'[1]PFV Proyecto Puro'!D$3:D$78,'[1]PFV Proyecto Puro'!CD$3:CD$78,"---",0,1)</f>
        <v>225.14796721950631</v>
      </c>
      <c r="G7" s="6">
        <f>_xlfn.XLOOKUP(A7,'[1]PFV Proyecto Puro'!D$3:D$78,'[1]PFV Proyecto Puro'!CE$3:CE$78,"---",0,1)</f>
        <v>225.14796721950631</v>
      </c>
      <c r="H7">
        <f>_xlfn.XLOOKUP(A7,'[1]SCORE comercial'!A$28:A$760,'[1]SCORE comercial'!H$28:H$760,"---",0,1)</f>
        <v>10</v>
      </c>
      <c r="I7">
        <f>_xlfn.XLOOKUP(A7,'[1]SCORE comercial'!A$28:A$760,'[1]SCORE comercial'!K$28:K$760,"---",0,1)</f>
        <v>10</v>
      </c>
    </row>
    <row r="8" spans="1:9" x14ac:dyDescent="0.3">
      <c r="A8" t="s">
        <v>2</v>
      </c>
      <c r="B8" t="str">
        <f>_xlfn.XLOOKUP(A8,'[1]PFV Proyecto Puro'!$D$3:$D$78,'[1]PFV Proyecto Puro'!$C$3:$C$78,"---",0,1)</f>
        <v>ARCADIA GENERACIÓN SOLAR S.A.</v>
      </c>
      <c r="C8" t="str">
        <f>_xlfn.XLOOKUP(A8,'[1]PFV Proyecto Puro'!$D$3:$D$78,'[1]PFV Proyecto Puro'!$M$3:$M$78,"---",0,1)</f>
        <v>-</v>
      </c>
      <c r="D8">
        <f>_xlfn.XLOOKUP(A8,'[1]SCORE Técnico 2025'!A$28:A$88,'[1]SCORE Técnico 2025'!M$28:M$88,"---",0,1)</f>
        <v>31</v>
      </c>
      <c r="E8">
        <f>_xlfn.XLOOKUP(A8,'[1]SCORE Técnico Promedio'!A$30:A$761,'[1]SCORE Técnico Promedio'!M$30:M$761,"---",0,1)</f>
        <v>29</v>
      </c>
      <c r="F8" s="4">
        <f>_xlfn.XLOOKUP(A8,'[1]PFV Proyecto Puro'!D$3:D$78,'[1]PFV Proyecto Puro'!CD$3:CD$78,"---",0,1)</f>
        <v>212.91676434569115</v>
      </c>
      <c r="G8" s="6">
        <f>_xlfn.XLOOKUP(A8,'[1]PFV Proyecto Puro'!D$3:D$78,'[1]PFV Proyecto Puro'!CE$3:CE$78,"---",0,1)</f>
        <v>190.90031470068843</v>
      </c>
      <c r="H8">
        <f>_xlfn.XLOOKUP(A8,'[1]SCORE comercial'!A$28:A$760,'[1]SCORE comercial'!H$28:H$760,"---",0,1)</f>
        <v>10</v>
      </c>
      <c r="I8">
        <f>_xlfn.XLOOKUP(A8,'[1]SCORE comercial'!A$28:A$760,'[1]SCORE comercial'!K$28:K$760,"---",0,1)</f>
        <v>10</v>
      </c>
    </row>
    <row r="9" spans="1:9" x14ac:dyDescent="0.3">
      <c r="A9" t="s">
        <v>19</v>
      </c>
      <c r="B9" t="str">
        <f>_xlfn.XLOOKUP(A9,'[1]PFV Proyecto Puro'!$D$3:$D$78,'[1]PFV Proyecto Puro'!$C$3:$C$78,"---",0,1)</f>
        <v>ENERGÍA CERRO EL MORADO S.A.</v>
      </c>
      <c r="C9" t="str">
        <f>_xlfn.XLOOKUP(A9,'[1]PFV Proyecto Puro'!$D$3:$D$78,'[1]PFV Proyecto Puro'!$M$3:$M$78,"---",0,1)</f>
        <v>-</v>
      </c>
      <c r="D9">
        <f>_xlfn.XLOOKUP(A9,'[1]SCORE Técnico 2025'!A$28:A$88,'[1]SCORE Técnico 2025'!M$28:M$88,"---",0,1)</f>
        <v>27</v>
      </c>
      <c r="E9">
        <f>_xlfn.XLOOKUP(A9,'[1]SCORE Técnico Promedio'!A$30:A$761,'[1]SCORE Técnico Promedio'!M$30:M$761,"---",0,1)</f>
        <v>27</v>
      </c>
      <c r="F9" s="4">
        <f>_xlfn.XLOOKUP(A9,'[1]PFV Proyecto Puro'!D$3:D$78,'[1]PFV Proyecto Puro'!CD$3:CD$78,"---",0,1)</f>
        <v>184.07262385643253</v>
      </c>
      <c r="G9" s="6">
        <f>_xlfn.XLOOKUP(A9,'[1]PFV Proyecto Puro'!D$3:D$78,'[1]PFV Proyecto Puro'!CE$3:CE$78,"---",0,1)</f>
        <v>173.34955912683731</v>
      </c>
      <c r="H9">
        <f>_xlfn.XLOOKUP(A9,'[1]SCORE comercial'!A$28:A$760,'[1]SCORE comercial'!H$28:H$760,"---",0,1)</f>
        <v>10</v>
      </c>
      <c r="I9">
        <f>_xlfn.XLOOKUP(A9,'[1]SCORE comercial'!A$28:A$760,'[1]SCORE comercial'!K$28:K$760,"---",0,1)</f>
        <v>10</v>
      </c>
    </row>
    <row r="10" spans="1:9" x14ac:dyDescent="0.3">
      <c r="A10" t="s">
        <v>17</v>
      </c>
      <c r="B10" t="str">
        <f>_xlfn.XLOOKUP(A10,'[1]PFV Proyecto Puro'!$D$3:$D$78,'[1]PFV Proyecto Puro'!$C$3:$C$78,"---",0,1)</f>
        <v>ENLIGHT INVESTMENTS SPA</v>
      </c>
      <c r="C10" t="s">
        <v>71</v>
      </c>
      <c r="D10">
        <f>_xlfn.XLOOKUP(A10,'[1]SCORE Técnico 2025'!A$28:A$88,'[1]SCORE Técnico 2025'!M$28:M$88,"---",0,1)</f>
        <v>30</v>
      </c>
      <c r="E10">
        <f>_xlfn.XLOOKUP(A10,'[1]SCORE Técnico Promedio'!A$30:A$761,'[1]SCORE Técnico Promedio'!M$30:M$761,"---",0,1)</f>
        <v>31</v>
      </c>
      <c r="F10" s="4">
        <f>_xlfn.XLOOKUP(A10,'[1]PFV Proyecto Puro'!D$3:D$78,'[1]PFV Proyecto Puro'!CD$3:CD$78,"---",0,1)</f>
        <v>182.41667069729561</v>
      </c>
      <c r="G10" s="6">
        <f>_xlfn.XLOOKUP(A10,'[1]PFV Proyecto Puro'!D$3:D$78,'[1]PFV Proyecto Puro'!CE$3:CE$78,"---",0,1)</f>
        <v>145.62272360314196</v>
      </c>
      <c r="H10">
        <f>_xlfn.XLOOKUP(A10,'[1]SCORE comercial'!A$28:A$760,'[1]SCORE comercial'!H$28:H$760,"---",0,1)</f>
        <v>10</v>
      </c>
      <c r="I10">
        <f>_xlfn.XLOOKUP(A10,'[1]SCORE comercial'!A$28:A$760,'[1]SCORE comercial'!K$28:K$760,"---",0,1)</f>
        <v>9</v>
      </c>
    </row>
    <row r="11" spans="1:9" x14ac:dyDescent="0.3">
      <c r="A11" t="s">
        <v>4</v>
      </c>
      <c r="B11" t="str">
        <f>_xlfn.XLOOKUP(A11,'[1]PFV Proyecto Puro'!$D$3:$D$78,'[1]PFV Proyecto Puro'!$C$3:$C$78,"---",0,1)</f>
        <v>ENEL GREEN POWER CHILE S.A.</v>
      </c>
      <c r="C11" t="str">
        <f>_xlfn.XLOOKUP(A11,'[1]PFV Proyecto Puro'!$D$3:$D$78,'[1]PFV Proyecto Puro'!$M$3:$M$78,"---",0,1)</f>
        <v>-</v>
      </c>
      <c r="D11">
        <f>_xlfn.XLOOKUP(A11,'[1]SCORE Técnico 2025'!A$28:A$88,'[1]SCORE Técnico 2025'!M$28:M$88,"---",0,1)</f>
        <v>28</v>
      </c>
      <c r="E11">
        <f>_xlfn.XLOOKUP(A11,'[1]SCORE Técnico Promedio'!A$30:A$761,'[1]SCORE Técnico Promedio'!M$30:M$761,"---",0,1)</f>
        <v>28</v>
      </c>
      <c r="F11" s="4">
        <f>_xlfn.XLOOKUP(A11,'[1]PFV Proyecto Puro'!D$3:D$78,'[1]PFV Proyecto Puro'!CD$3:CD$78,"---",0,1)</f>
        <v>178.3717745686545</v>
      </c>
      <c r="G11" s="6">
        <f>_xlfn.XLOOKUP(A11,'[1]PFV Proyecto Puro'!D$3:D$78,'[1]PFV Proyecto Puro'!CE$3:CE$78,"---",0,1)</f>
        <v>160.32307404988748</v>
      </c>
      <c r="H11">
        <f>_xlfn.XLOOKUP(A11,'[1]SCORE comercial'!A$28:A$760,'[1]SCORE comercial'!H$28:H$760,"---",0,1)</f>
        <v>10</v>
      </c>
      <c r="I11">
        <f>_xlfn.XLOOKUP(A11,'[1]SCORE comercial'!A$28:A$760,'[1]SCORE comercial'!K$28:K$760,"---",0,1)</f>
        <v>9</v>
      </c>
    </row>
    <row r="12" spans="1:9" x14ac:dyDescent="0.3">
      <c r="A12" t="s">
        <v>15</v>
      </c>
      <c r="B12" t="str">
        <f>_xlfn.XLOOKUP(A12,'[1]PFV Proyecto Puro'!$D$3:$D$78,'[1]PFV Proyecto Puro'!$C$3:$C$78,"---",0,1)</f>
        <v>GENERACIÓN SOLAR SPA</v>
      </c>
      <c r="C12" t="str">
        <f>_xlfn.XLOOKUP(A12,'[1]PFV Proyecto Puro'!$D$3:$D$78,'[1]PFV Proyecto Puro'!$M$3:$M$78,"---",0,1)</f>
        <v>Existente + Construcción</v>
      </c>
      <c r="D12">
        <f>_xlfn.XLOOKUP(A12,'[1]SCORE Técnico 2025'!A$28:A$88,'[1]SCORE Técnico 2025'!M$28:M$88,"---",0,1)</f>
        <v>36</v>
      </c>
      <c r="E12">
        <f>_xlfn.XLOOKUP(A12,'[1]SCORE Técnico Promedio'!A$30:A$761,'[1]SCORE Técnico Promedio'!M$30:M$761,"---",0,1)</f>
        <v>28</v>
      </c>
      <c r="F12" s="4">
        <f>_xlfn.XLOOKUP(A12,'[1]PFV Proyecto Puro'!D$3:D$78,'[1]PFV Proyecto Puro'!CD$3:CD$78,"---",0,1)</f>
        <v>165.40925469740816</v>
      </c>
      <c r="G12" s="6">
        <f>_xlfn.XLOOKUP(A12,'[1]PFV Proyecto Puro'!D$3:D$78,'[1]PFV Proyecto Puro'!CE$3:CE$78,"---",0,1)</f>
        <v>164.3939197409471</v>
      </c>
      <c r="H12">
        <f>_xlfn.XLOOKUP(A12,'[1]SCORE comercial'!A$28:A$760,'[1]SCORE comercial'!H$28:H$760,"---",0,1)</f>
        <v>9</v>
      </c>
      <c r="I12">
        <f>_xlfn.XLOOKUP(A12,'[1]SCORE comercial'!A$28:A$760,'[1]SCORE comercial'!K$28:K$760,"---",0,1)</f>
        <v>10</v>
      </c>
    </row>
    <row r="13" spans="1:9" x14ac:dyDescent="0.3">
      <c r="A13" t="s">
        <v>10</v>
      </c>
      <c r="B13" t="str">
        <f>_xlfn.XLOOKUP(A13,'[1]PFV Proyecto Puro'!$D$3:$D$78,'[1]PFV Proyecto Puro'!$C$3:$C$78,"---",0,1)</f>
        <v>CHUNGUNGO S.A.</v>
      </c>
      <c r="C13" t="str">
        <f>_xlfn.XLOOKUP(A13,'[1]PFV Proyecto Puro'!$D$3:$D$78,'[1]PFV Proyecto Puro'!$M$3:$M$78,"---",0,1)</f>
        <v>-</v>
      </c>
      <c r="D13">
        <f>_xlfn.XLOOKUP(A13,'[1]SCORE Técnico 2025'!A$28:A$88,'[1]SCORE Técnico 2025'!M$28:M$88,"---",0,1)</f>
        <v>23</v>
      </c>
      <c r="E13">
        <f>_xlfn.XLOOKUP(A13,'[1]SCORE Técnico Promedio'!A$30:A$761,'[1]SCORE Técnico Promedio'!M$30:M$761,"---",0,1)</f>
        <v>25</v>
      </c>
      <c r="F13" s="4">
        <f>_xlfn.XLOOKUP(A13,'[1]PFV Proyecto Puro'!D$3:D$78,'[1]PFV Proyecto Puro'!CD$3:CD$78,"---",0,1)</f>
        <v>159.96688852477408</v>
      </c>
      <c r="G13" s="6">
        <f>_xlfn.XLOOKUP(A13,'[1]PFV Proyecto Puro'!D$3:D$78,'[1]PFV Proyecto Puro'!CE$3:CE$78,"---",0,1)</f>
        <v>150.66054694362239</v>
      </c>
      <c r="H13">
        <f>_xlfn.XLOOKUP(A13,'[1]SCORE comercial'!A$28:A$760,'[1]SCORE comercial'!H$28:H$760,"---",0,1)</f>
        <v>9</v>
      </c>
      <c r="I13">
        <f>_xlfn.XLOOKUP(A13,'[1]SCORE comercial'!A$28:A$760,'[1]SCORE comercial'!K$28:K$760,"---",0,1)</f>
        <v>9</v>
      </c>
    </row>
    <row r="14" spans="1:9" x14ac:dyDescent="0.3">
      <c r="A14" t="s">
        <v>9</v>
      </c>
      <c r="B14" t="str">
        <f>_xlfn.XLOOKUP(A14,'[1]PFV Proyecto Puro'!$D$3:$D$78,'[1]PFV Proyecto Puro'!$C$3:$C$78,"---",0,1)</f>
        <v>ARCADIA GENERACIÓN SOLAR S.A.</v>
      </c>
      <c r="C14" t="str">
        <f>_xlfn.XLOOKUP(A14,'[1]PFV Proyecto Puro'!$D$3:$D$78,'[1]PFV Proyecto Puro'!$M$3:$M$78,"---",0,1)</f>
        <v>-</v>
      </c>
      <c r="D14">
        <f>_xlfn.XLOOKUP(A14,'[1]SCORE Técnico 2025'!A$28:A$88,'[1]SCORE Técnico 2025'!M$28:M$88,"---",0,1)</f>
        <v>28</v>
      </c>
      <c r="E14">
        <f>_xlfn.XLOOKUP(A14,'[1]SCORE Técnico Promedio'!A$30:A$761,'[1]SCORE Técnico Promedio'!M$30:M$761,"---",0,1)</f>
        <v>25</v>
      </c>
      <c r="F14" s="4">
        <f>_xlfn.XLOOKUP(A14,'[1]PFV Proyecto Puro'!D$3:D$78,'[1]PFV Proyecto Puro'!CD$3:CD$78,"---",0,1)</f>
        <v>155.50186037465843</v>
      </c>
      <c r="G14" s="6">
        <f>_xlfn.XLOOKUP(A14,'[1]PFV Proyecto Puro'!D$3:D$78,'[1]PFV Proyecto Puro'!CE$3:CE$78,"---",0,1)</f>
        <v>131.2541894992178</v>
      </c>
      <c r="H14">
        <f>_xlfn.XLOOKUP(A14,'[1]SCORE comercial'!A$28:A$760,'[1]SCORE comercial'!H$28:H$760,"---",0,1)</f>
        <v>9</v>
      </c>
      <c r="I14">
        <f>_xlfn.XLOOKUP(A14,'[1]SCORE comercial'!A$28:A$760,'[1]SCORE comercial'!K$28:K$760,"---",0,1)</f>
        <v>8</v>
      </c>
    </row>
    <row r="15" spans="1:9" x14ac:dyDescent="0.3">
      <c r="A15" t="s">
        <v>6</v>
      </c>
      <c r="B15" t="str">
        <f>_xlfn.XLOOKUP(A15,'[1]PFV Proyecto Puro'!$D$3:$D$78,'[1]PFV Proyecto Puro'!$C$3:$C$78,"---",0,1)</f>
        <v>JAVIERA SPA</v>
      </c>
      <c r="C15" t="str">
        <f>_xlfn.XLOOKUP(A15,'[1]PFV Proyecto Puro'!$D$3:$D$78,'[1]PFV Proyecto Puro'!$M$3:$M$78,"---",0,1)</f>
        <v>-</v>
      </c>
      <c r="D15">
        <f>_xlfn.XLOOKUP(A15,'[1]SCORE Técnico 2025'!A$28:A$88,'[1]SCORE Técnico 2025'!M$28:M$88,"---",0,1)</f>
        <v>23</v>
      </c>
      <c r="E15">
        <f>_xlfn.XLOOKUP(A15,'[1]SCORE Técnico Promedio'!A$30:A$761,'[1]SCORE Técnico Promedio'!M$30:M$761,"---",0,1)</f>
        <v>23</v>
      </c>
      <c r="F15" s="4">
        <f>_xlfn.XLOOKUP(A15,'[1]PFV Proyecto Puro'!D$3:D$78,'[1]PFV Proyecto Puro'!CD$3:CD$78,"---",0,1)</f>
        <v>151.54931562087606</v>
      </c>
      <c r="G15" s="6">
        <f>_xlfn.XLOOKUP(A15,'[1]PFV Proyecto Puro'!D$3:D$78,'[1]PFV Proyecto Puro'!CE$3:CE$78,"---",0,1)</f>
        <v>153.36115611189666</v>
      </c>
      <c r="H15">
        <f>_xlfn.XLOOKUP(A15,'[1]SCORE comercial'!A$28:A$760,'[1]SCORE comercial'!H$28:H$760,"---",0,1)</f>
        <v>9</v>
      </c>
      <c r="I15">
        <f>_xlfn.XLOOKUP(A15,'[1]SCORE comercial'!A$28:A$760,'[1]SCORE comercial'!K$28:K$760,"---",0,1)</f>
        <v>9</v>
      </c>
    </row>
    <row r="16" spans="1:9" x14ac:dyDescent="0.3">
      <c r="A16" t="s">
        <v>18</v>
      </c>
      <c r="B16" t="str">
        <f>_xlfn.XLOOKUP(A16,'[1]PFV Proyecto Puro'!$D$3:$D$78,'[1]PFV Proyecto Puro'!$C$3:$C$78,"---",0,1)</f>
        <v>ACCIONA ENERGÍA CHILE HOLDINGS S.A.</v>
      </c>
      <c r="C16" t="s">
        <v>70</v>
      </c>
      <c r="D16">
        <f>_xlfn.XLOOKUP(A16,'[1]SCORE Técnico 2025'!A$28:A$88,'[1]SCORE Técnico 2025'!M$28:M$88,"---",0,1)</f>
        <v>28</v>
      </c>
      <c r="E16">
        <f>_xlfn.XLOOKUP(A16,'[1]SCORE Técnico Promedio'!A$30:A$761,'[1]SCORE Técnico Promedio'!M$30:M$761,"---",0,1)</f>
        <v>25</v>
      </c>
      <c r="F16" s="4">
        <f>_xlfn.XLOOKUP(A16,'[1]PFV Proyecto Puro'!D$3:D$78,'[1]PFV Proyecto Puro'!CD$3:CD$78,"---",0,1)</f>
        <v>150.53150087405055</v>
      </c>
      <c r="G16" s="6">
        <f>_xlfn.XLOOKUP(A16,'[1]PFV Proyecto Puro'!D$3:D$78,'[1]PFV Proyecto Puro'!CE$3:CE$78,"---",0,1)</f>
        <v>126.29025312310564</v>
      </c>
      <c r="H16">
        <f>_xlfn.XLOOKUP(A16,'[1]SCORE comercial'!A$28:A$760,'[1]SCORE comercial'!H$28:H$760,"---",0,1)</f>
        <v>9</v>
      </c>
      <c r="I16">
        <f>_xlfn.XLOOKUP(A16,'[1]SCORE comercial'!A$28:A$760,'[1]SCORE comercial'!K$28:K$760,"---",0,1)</f>
        <v>8</v>
      </c>
    </row>
    <row r="17" spans="1:9" x14ac:dyDescent="0.3">
      <c r="A17" t="s">
        <v>0</v>
      </c>
      <c r="B17" t="str">
        <f>_xlfn.XLOOKUP(A17,'[1]PFV Proyecto Puro'!$D$3:$D$78,'[1]PFV Proyecto Puro'!$C$3:$C$78,"---",0,1)</f>
        <v>AMANECER SOLAR SPA</v>
      </c>
      <c r="C17" t="str">
        <f>_xlfn.XLOOKUP(A17,'[1]PFV Proyecto Puro'!$D$3:$D$78,'[1]PFV Proyecto Puro'!$M$3:$M$78,"---",0,1)</f>
        <v>-</v>
      </c>
      <c r="D17">
        <f>_xlfn.XLOOKUP(A17,'[1]SCORE Técnico 2025'!A$28:A$88,'[1]SCORE Técnico 2025'!M$28:M$88,"---",0,1)</f>
        <v>24</v>
      </c>
      <c r="E17">
        <f>_xlfn.XLOOKUP(A17,'[1]SCORE Técnico Promedio'!A$30:A$761,'[1]SCORE Técnico Promedio'!M$30:M$761,"---",0,1)</f>
        <v>22</v>
      </c>
      <c r="F17" s="4">
        <f>_xlfn.XLOOKUP(A17,'[1]PFV Proyecto Puro'!D$3:D$78,'[1]PFV Proyecto Puro'!CD$3:CD$78,"---",0,1)</f>
        <v>147.10751532332384</v>
      </c>
      <c r="G17" s="6">
        <f>_xlfn.XLOOKUP(A17,'[1]PFV Proyecto Puro'!D$3:D$78,'[1]PFV Proyecto Puro'!CE$3:CE$78,"---",0,1)</f>
        <v>142.61474714826912</v>
      </c>
      <c r="H17">
        <f>_xlfn.XLOOKUP(A17,'[1]SCORE comercial'!A$28:A$760,'[1]SCORE comercial'!H$28:H$760,"---",0,1)</f>
        <v>9</v>
      </c>
      <c r="I17">
        <f>_xlfn.XLOOKUP(A17,'[1]SCORE comercial'!A$28:A$760,'[1]SCORE comercial'!K$28:K$760,"---",0,1)</f>
        <v>9</v>
      </c>
    </row>
    <row r="18" spans="1:9" x14ac:dyDescent="0.3">
      <c r="A18" t="s">
        <v>3</v>
      </c>
      <c r="B18" t="str">
        <f>_xlfn.XLOOKUP(A18,'[1]PFV Proyecto Puro'!$D$3:$D$78,'[1]PFV Proyecto Puro'!$C$3:$C$78,"---",0,1)</f>
        <v>ENEL GREEN POWER CHILE S.A.</v>
      </c>
      <c r="C18" t="str">
        <f>_xlfn.XLOOKUP(A18,'[1]PFV Proyecto Puro'!$D$3:$D$78,'[1]PFV Proyecto Puro'!$M$3:$M$78,"---",0,1)</f>
        <v>-</v>
      </c>
      <c r="D18">
        <f>_xlfn.XLOOKUP(A18,'[1]SCORE Técnico 2025'!A$28:A$88,'[1]SCORE Técnico 2025'!M$28:M$88,"---",0,1)</f>
        <v>21</v>
      </c>
      <c r="E18">
        <f>_xlfn.XLOOKUP(A18,'[1]SCORE Técnico Promedio'!A$30:A$761,'[1]SCORE Técnico Promedio'!M$30:M$761,"---",0,1)</f>
        <v>21</v>
      </c>
      <c r="F18" s="4">
        <f>_xlfn.XLOOKUP(A18,'[1]PFV Proyecto Puro'!D$3:D$78,'[1]PFV Proyecto Puro'!CD$3:CD$78,"---",0,1)</f>
        <v>143.37493574349742</v>
      </c>
      <c r="G18" s="6">
        <f>_xlfn.XLOOKUP(A18,'[1]PFV Proyecto Puro'!D$3:D$78,'[1]PFV Proyecto Puro'!CE$3:CE$78,"---",0,1)</f>
        <v>133.7946701446663</v>
      </c>
      <c r="H18">
        <f>_xlfn.XLOOKUP(A18,'[1]SCORE comercial'!A$28:A$760,'[1]SCORE comercial'!H$28:H$760,"---",0,1)</f>
        <v>8</v>
      </c>
      <c r="I18">
        <f>_xlfn.XLOOKUP(A18,'[1]SCORE comercial'!A$28:A$760,'[1]SCORE comercial'!K$28:K$760,"---",0,1)</f>
        <v>8</v>
      </c>
    </row>
    <row r="19" spans="1:9" x14ac:dyDescent="0.3">
      <c r="A19" t="s">
        <v>16</v>
      </c>
      <c r="B19" t="str">
        <f>_xlfn.XLOOKUP(A19,'[1]PFV Proyecto Puro'!$D$3:$D$78,'[1]PFV Proyecto Puro'!$C$3:$C$78,"---",0,1)</f>
        <v>PLANTA SOLAR SAN PEDRO III SPA</v>
      </c>
      <c r="C19" t="str">
        <f>_xlfn.XLOOKUP(A19,'[1]PFV Proyecto Puro'!$D$3:$D$78,'[1]PFV Proyecto Puro'!$M$3:$M$78,"---",0,1)</f>
        <v>-</v>
      </c>
      <c r="D19">
        <f>_xlfn.XLOOKUP(A19,'[1]SCORE Técnico 2025'!A$28:A$88,'[1]SCORE Técnico 2025'!M$28:M$88,"---",0,1)</f>
        <v>29</v>
      </c>
      <c r="E19">
        <f>_xlfn.XLOOKUP(A19,'[1]SCORE Técnico Promedio'!A$30:A$761,'[1]SCORE Técnico Promedio'!M$30:M$761,"---",0,1)</f>
        <v>24</v>
      </c>
      <c r="F19" s="4">
        <f>_xlfn.XLOOKUP(A19,'[1]PFV Proyecto Puro'!D$3:D$78,'[1]PFV Proyecto Puro'!CD$3:CD$78,"---",0,1)</f>
        <v>137.30925624718762</v>
      </c>
      <c r="G19" s="6">
        <f>_xlfn.XLOOKUP(A19,'[1]PFV Proyecto Puro'!D$3:D$78,'[1]PFV Proyecto Puro'!CE$3:CE$78,"---",0,1)</f>
        <v>123.4689482698556</v>
      </c>
      <c r="H19">
        <f>_xlfn.XLOOKUP(A19,'[1]SCORE comercial'!A$28:A$760,'[1]SCORE comercial'!H$28:H$760,"---",0,1)</f>
        <v>8</v>
      </c>
      <c r="I19">
        <f>_xlfn.XLOOKUP(A19,'[1]SCORE comercial'!A$28:A$760,'[1]SCORE comercial'!K$28:K$760,"---",0,1)</f>
        <v>8</v>
      </c>
    </row>
    <row r="20" spans="1:9" x14ac:dyDescent="0.3">
      <c r="A20" t="s">
        <v>7</v>
      </c>
      <c r="B20" t="str">
        <f>_xlfn.XLOOKUP(A20,'[1]PFV Proyecto Puro'!$D$3:$D$78,'[1]PFV Proyecto Puro'!$C$3:$C$78,"---",0,1)</f>
        <v>PARQUE SOLAR FOTOVOLTAICO LUZ DEL NORTE SPA</v>
      </c>
      <c r="C20" t="str">
        <f>_xlfn.XLOOKUP(A20,'[1]PFV Proyecto Puro'!$D$3:$D$78,'[1]PFV Proyecto Puro'!$M$3:$M$78,"---",0,1)</f>
        <v>Construcción</v>
      </c>
      <c r="D20">
        <f>_xlfn.XLOOKUP(A20,'[1]SCORE Técnico 2025'!A$28:A$88,'[1]SCORE Técnico 2025'!M$28:M$88,"---",0,1)</f>
        <v>31</v>
      </c>
      <c r="E20">
        <f>_xlfn.XLOOKUP(A20,'[1]SCORE Técnico Promedio'!A$30:A$761,'[1]SCORE Técnico Promedio'!M$30:M$761,"---",0,1)</f>
        <v>30</v>
      </c>
      <c r="F20" s="4">
        <f>_xlfn.XLOOKUP(A20,'[1]PFV Proyecto Puro'!D$3:D$78,'[1]PFV Proyecto Puro'!CD$3:CD$78,"---",0,1)</f>
        <v>134.08829640288874</v>
      </c>
      <c r="G20" s="6">
        <f>_xlfn.XLOOKUP(A20,'[1]PFV Proyecto Puro'!D$3:D$78,'[1]PFV Proyecto Puro'!CE$3:CE$78,"---",0,1)</f>
        <v>118.82812570112476</v>
      </c>
      <c r="H20">
        <f>_xlfn.XLOOKUP(A20,'[1]SCORE comercial'!A$28:A$760,'[1]SCORE comercial'!H$28:H$760,"---",0,1)</f>
        <v>8</v>
      </c>
      <c r="I20">
        <f>_xlfn.XLOOKUP(A20,'[1]SCORE comercial'!A$28:A$760,'[1]SCORE comercial'!K$28:K$760,"---",0,1)</f>
        <v>7</v>
      </c>
    </row>
    <row r="21" spans="1:9" x14ac:dyDescent="0.3">
      <c r="A21" t="s">
        <v>57</v>
      </c>
      <c r="B21" t="str">
        <f>_xlfn.XLOOKUP(A21,'[1]PFV Proyecto Puro'!$D$3:$D$78,'[1]PFV Proyecto Puro'!$C$3:$C$78,"---",0,1)</f>
        <v>ENEL GREEN POWER CHILE S.A.</v>
      </c>
      <c r="C21" t="str">
        <f>_xlfn.XLOOKUP(A21,'[1]PFV Proyecto Puro'!$D$3:$D$78,'[1]PFV Proyecto Puro'!$M$3:$M$78,"---",0,1)</f>
        <v>Existente</v>
      </c>
      <c r="D21">
        <f>_xlfn.XLOOKUP(A21,'[1]SCORE Técnico 2025'!A$28:A$88,'[1]SCORE Técnico 2025'!M$28:M$88,"---",0,1)</f>
        <v>28</v>
      </c>
      <c r="E21">
        <f>_xlfn.XLOOKUP(A21,'[1]SCORE Técnico Promedio'!A$30:A$761,'[1]SCORE Técnico Promedio'!M$30:M$761,"---",0,1)</f>
        <v>28</v>
      </c>
      <c r="F21" s="4">
        <f>_xlfn.XLOOKUP(A21,'[1]PFV Proyecto Puro'!D$3:D$78,'[1]PFV Proyecto Puro'!CD$3:CD$78,"---",0,1)</f>
        <v>130.48572110243344</v>
      </c>
      <c r="G21" s="6">
        <f>_xlfn.XLOOKUP(A21,'[1]PFV Proyecto Puro'!D$3:D$78,'[1]PFV Proyecto Puro'!CE$3:CE$78,"---",0,1)</f>
        <v>130.48572110243344</v>
      </c>
      <c r="H21">
        <f>_xlfn.XLOOKUP(A21,'[1]SCORE comercial'!A$28:A$760,'[1]SCORE comercial'!H$28:H$760,"---",0,1)</f>
        <v>8</v>
      </c>
      <c r="I21">
        <f>_xlfn.XLOOKUP(A21,'[1]SCORE comercial'!A$28:A$760,'[1]SCORE comercial'!K$28:K$760,"---",0,1)</f>
        <v>8</v>
      </c>
    </row>
    <row r="22" spans="1:9" x14ac:dyDescent="0.3">
      <c r="A22" t="s">
        <v>8</v>
      </c>
      <c r="B22" t="str">
        <f>_xlfn.XLOOKUP(A22,'[1]PFV Proyecto Puro'!$D$3:$D$78,'[1]PFV Proyecto Puro'!$C$3:$C$78,"---",0,1)</f>
        <v>ARCADIA GENERACIÓN SOLAR S.A.</v>
      </c>
      <c r="C22" t="str">
        <f>_xlfn.XLOOKUP(A22,'[1]PFV Proyecto Puro'!$D$3:$D$78,'[1]PFV Proyecto Puro'!$M$3:$M$78,"---",0,1)</f>
        <v>-</v>
      </c>
      <c r="D22">
        <f>_xlfn.XLOOKUP(A22,'[1]SCORE Técnico 2025'!A$28:A$88,'[1]SCORE Técnico 2025'!M$28:M$88,"---",0,1)</f>
        <v>21</v>
      </c>
      <c r="E22">
        <f>_xlfn.XLOOKUP(A22,'[1]SCORE Técnico Promedio'!A$30:A$761,'[1]SCORE Técnico Promedio'!M$30:M$761,"---",0,1)</f>
        <v>25</v>
      </c>
      <c r="F22" s="4">
        <f>_xlfn.XLOOKUP(A22,'[1]PFV Proyecto Puro'!D$3:D$78,'[1]PFV Proyecto Puro'!CD$3:CD$78,"---",0,1)</f>
        <v>127.45927135686706</v>
      </c>
      <c r="G22" s="6">
        <f>_xlfn.XLOOKUP(A22,'[1]PFV Proyecto Puro'!D$3:D$78,'[1]PFV Proyecto Puro'!CE$3:CE$78,"---",0,1)</f>
        <v>117.55952975574159</v>
      </c>
      <c r="H22">
        <f>_xlfn.XLOOKUP(A22,'[1]SCORE comercial'!A$28:A$760,'[1]SCORE comercial'!H$28:H$760,"---",0,1)</f>
        <v>8</v>
      </c>
      <c r="I22">
        <f>_xlfn.XLOOKUP(A22,'[1]SCORE comercial'!A$28:A$760,'[1]SCORE comercial'!K$28:K$760,"---",0,1)</f>
        <v>7</v>
      </c>
    </row>
    <row r="23" spans="1:9" x14ac:dyDescent="0.3">
      <c r="A23" t="s">
        <v>36</v>
      </c>
      <c r="B23" t="str">
        <f>_xlfn.XLOOKUP(A23,'[1]PFV Proyecto Puro'!$D$3:$D$78,'[1]PFV Proyecto Puro'!$C$3:$C$78,"---",0,1)</f>
        <v>ENGIE ENERGÍA CHILE S.A.</v>
      </c>
      <c r="C23" t="str">
        <f>_xlfn.XLOOKUP(A23,'[1]PFV Proyecto Puro'!$D$3:$D$78,'[1]PFV Proyecto Puro'!$M$3:$M$78,"---",0,1)</f>
        <v>Existente</v>
      </c>
      <c r="D23">
        <f>_xlfn.XLOOKUP(A23,'[1]SCORE Técnico 2025'!A$28:A$88,'[1]SCORE Técnico 2025'!M$28:M$88,"---",0,1)</f>
        <v>29</v>
      </c>
      <c r="E23">
        <f>_xlfn.XLOOKUP(A23,'[1]SCORE Técnico Promedio'!A$30:A$761,'[1]SCORE Técnico Promedio'!M$30:M$761,"---",0,1)</f>
        <v>29</v>
      </c>
      <c r="F23" s="4">
        <f>_xlfn.XLOOKUP(A23,'[1]PFV Proyecto Puro'!D$3:D$78,'[1]PFV Proyecto Puro'!CD$3:CD$78,"---",0,1)</f>
        <v>120.86019668952748</v>
      </c>
      <c r="G23" s="6">
        <f>_xlfn.XLOOKUP(A23,'[1]PFV Proyecto Puro'!D$3:D$78,'[1]PFV Proyecto Puro'!CE$3:CE$78,"---",0,1)</f>
        <v>77.673577614814533</v>
      </c>
      <c r="H23">
        <f>_xlfn.XLOOKUP(A23,'[1]SCORE comercial'!A$28:A$760,'[1]SCORE comercial'!H$28:H$760,"---",0,1)</f>
        <v>8</v>
      </c>
      <c r="I23">
        <f>_xlfn.XLOOKUP(A23,'[1]SCORE comercial'!A$28:A$760,'[1]SCORE comercial'!K$28:K$760,"---",0,1)</f>
        <v>6</v>
      </c>
    </row>
    <row r="24" spans="1:9" x14ac:dyDescent="0.3">
      <c r="A24" t="s">
        <v>14</v>
      </c>
      <c r="B24" t="str">
        <f>_xlfn.XLOOKUP(A24,'[1]PFV Proyecto Puro'!$D$3:$D$78,'[1]PFV Proyecto Puro'!$C$3:$C$78,"---",0,1)</f>
        <v>ANDES SOLAR SPA</v>
      </c>
      <c r="C24" t="str">
        <f>_xlfn.XLOOKUP(A24,'[1]PFV Proyecto Puro'!$D$3:$D$78,'[1]PFV Proyecto Puro'!$M$3:$M$78,"---",0,1)</f>
        <v>-</v>
      </c>
      <c r="D24">
        <f>_xlfn.XLOOKUP(A24,'[1]SCORE Técnico 2025'!A$28:A$88,'[1]SCORE Técnico 2025'!M$28:M$88,"---",0,1)</f>
        <v>23</v>
      </c>
      <c r="E24">
        <f>_xlfn.XLOOKUP(A24,'[1]SCORE Técnico Promedio'!A$30:A$761,'[1]SCORE Técnico Promedio'!M$30:M$761,"---",0,1)</f>
        <v>21</v>
      </c>
      <c r="F24" s="4">
        <f>_xlfn.XLOOKUP(A24,'[1]PFV Proyecto Puro'!D$3:D$78,'[1]PFV Proyecto Puro'!CD$3:CD$78,"---",0,1)</f>
        <v>117.00468059513956</v>
      </c>
      <c r="G24" s="6">
        <f>_xlfn.XLOOKUP(A24,'[1]PFV Proyecto Puro'!D$3:D$78,'[1]PFV Proyecto Puro'!CE$3:CE$78,"---",0,1)</f>
        <v>107.06022465930636</v>
      </c>
      <c r="H24">
        <f>_xlfn.XLOOKUP(A24,'[1]SCORE comercial'!A$28:A$760,'[1]SCORE comercial'!H$28:H$760,"---",0,1)</f>
        <v>7</v>
      </c>
      <c r="I24">
        <f>_xlfn.XLOOKUP(A24,'[1]SCORE comercial'!A$28:A$760,'[1]SCORE comercial'!K$28:K$760,"---",0,1)</f>
        <v>7</v>
      </c>
    </row>
    <row r="25" spans="1:9" x14ac:dyDescent="0.3">
      <c r="A25" t="s">
        <v>26</v>
      </c>
      <c r="B25" t="str">
        <f>_xlfn.XLOOKUP(A25,'[1]PFV Proyecto Puro'!$D$3:$D$78,'[1]PFV Proyecto Puro'!$C$3:$C$78,"---",0,1)</f>
        <v>COPEC RENOVABLES SPA</v>
      </c>
      <c r="C25" t="str">
        <f>_xlfn.XLOOKUP(A25,'[1]PFV Proyecto Puro'!$D$3:$D$78,'[1]PFV Proyecto Puro'!$M$3:$M$78,"---",0,1)</f>
        <v>Construcción</v>
      </c>
      <c r="D25">
        <f>_xlfn.XLOOKUP(A25,'[1]SCORE Técnico 2025'!A$28:A$88,'[1]SCORE Técnico 2025'!M$28:M$88,"---",0,1)</f>
        <v>26</v>
      </c>
      <c r="E25">
        <f>_xlfn.XLOOKUP(A25,'[1]SCORE Técnico Promedio'!A$30:A$761,'[1]SCORE Técnico Promedio'!M$30:M$761,"---",0,1)</f>
        <v>23</v>
      </c>
      <c r="F25" s="4">
        <f>_xlfn.XLOOKUP(A25,'[1]PFV Proyecto Puro'!D$3:D$78,'[1]PFV Proyecto Puro'!CD$3:CD$78,"---",0,1)</f>
        <v>115.95328370578751</v>
      </c>
      <c r="G25" s="6">
        <f>_xlfn.XLOOKUP(A25,'[1]PFV Proyecto Puro'!D$3:D$78,'[1]PFV Proyecto Puro'!CE$3:CE$78,"---",0,1)</f>
        <v>73.249911595920381</v>
      </c>
      <c r="H25">
        <f>_xlfn.XLOOKUP(A25,'[1]SCORE comercial'!A$28:A$760,'[1]SCORE comercial'!H$28:H$760,"---",0,1)</f>
        <v>7</v>
      </c>
      <c r="I25">
        <f>_xlfn.XLOOKUP(A25,'[1]SCORE comercial'!A$28:A$760,'[1]SCORE comercial'!K$28:K$760,"---",0,1)</f>
        <v>5</v>
      </c>
    </row>
    <row r="26" spans="1:9" x14ac:dyDescent="0.3">
      <c r="A26" t="s">
        <v>47</v>
      </c>
      <c r="B26" t="str">
        <f>_xlfn.XLOOKUP(A26,'[1]PFV Proyecto Puro'!$D$3:$D$78,'[1]PFV Proyecto Puro'!$C$3:$C$78,"---",0,1)</f>
        <v>SOLAR ELENA SPA</v>
      </c>
      <c r="C26" t="str">
        <f>_xlfn.XLOOKUP(A26,'[1]PFV Proyecto Puro'!$D$3:$D$78,'[1]PFV Proyecto Puro'!$M$3:$M$78,"---",0,1)</f>
        <v>Existente</v>
      </c>
      <c r="D26">
        <f>_xlfn.XLOOKUP(A26,'[1]SCORE Técnico 2025'!A$28:A$88,'[1]SCORE Técnico 2025'!M$28:M$88,"---",0,1)</f>
        <v>24</v>
      </c>
      <c r="E26">
        <f>_xlfn.XLOOKUP(A26,'[1]SCORE Técnico Promedio'!A$30:A$761,'[1]SCORE Técnico Promedio'!M$30:M$761,"---",0,1)</f>
        <v>22</v>
      </c>
      <c r="F26" s="4">
        <f>_xlfn.XLOOKUP(A26,'[1]PFV Proyecto Puro'!D$3:D$78,'[1]PFV Proyecto Puro'!CD$3:CD$78,"---",0,1)</f>
        <v>113.47776926480164</v>
      </c>
      <c r="G26" s="6">
        <f>_xlfn.XLOOKUP(A26,'[1]PFV Proyecto Puro'!D$3:D$78,'[1]PFV Proyecto Puro'!CE$3:CE$78,"---",0,1)</f>
        <v>77.517731576601136</v>
      </c>
      <c r="H26">
        <f>_xlfn.XLOOKUP(A26,'[1]SCORE comercial'!A$28:A$760,'[1]SCORE comercial'!H$28:H$760,"---",0,1)</f>
        <v>7</v>
      </c>
      <c r="I26">
        <f>_xlfn.XLOOKUP(A26,'[1]SCORE comercial'!A$28:A$760,'[1]SCORE comercial'!K$28:K$760,"---",0,1)</f>
        <v>5</v>
      </c>
    </row>
    <row r="27" spans="1:9" x14ac:dyDescent="0.3">
      <c r="A27" t="s">
        <v>13</v>
      </c>
      <c r="B27" t="str">
        <f>_xlfn.XLOOKUP(A27,'[1]PFV Proyecto Puro'!$D$3:$D$78,'[1]PFV Proyecto Puro'!$C$3:$C$78,"---",0,1)</f>
        <v>SANTIAGO SOLAR S.A.</v>
      </c>
      <c r="C27" t="str">
        <f>_xlfn.XLOOKUP(A27,'[1]PFV Proyecto Puro'!$D$3:$D$78,'[1]PFV Proyecto Puro'!$M$3:$M$78,"---",0,1)</f>
        <v>-</v>
      </c>
      <c r="D27">
        <f>_xlfn.XLOOKUP(A27,'[1]SCORE Técnico 2025'!A$28:A$88,'[1]SCORE Técnico 2025'!M$28:M$88,"---",0,1)</f>
        <v>23</v>
      </c>
      <c r="E27">
        <f>_xlfn.XLOOKUP(A27,'[1]SCORE Técnico Promedio'!A$30:A$761,'[1]SCORE Técnico Promedio'!M$30:M$761,"---",0,1)</f>
        <v>23</v>
      </c>
      <c r="F27" s="4">
        <f>_xlfn.XLOOKUP(A27,'[1]PFV Proyecto Puro'!D$3:D$78,'[1]PFV Proyecto Puro'!CD$3:CD$78,"---",0,1)</f>
        <v>106.19134821796176</v>
      </c>
      <c r="G27" s="6">
        <f>_xlfn.XLOOKUP(A27,'[1]PFV Proyecto Puro'!D$3:D$78,'[1]PFV Proyecto Puro'!CE$3:CE$78,"---",0,1)</f>
        <v>106.46671004953231</v>
      </c>
      <c r="H27">
        <f>_xlfn.XLOOKUP(A27,'[1]SCORE comercial'!A$28:A$760,'[1]SCORE comercial'!H$28:H$760,"---",0,1)</f>
        <v>7</v>
      </c>
      <c r="I27">
        <f>_xlfn.XLOOKUP(A27,'[1]SCORE comercial'!A$28:A$760,'[1]SCORE comercial'!K$28:K$760,"---",0,1)</f>
        <v>7</v>
      </c>
    </row>
    <row r="28" spans="1:9" x14ac:dyDescent="0.3">
      <c r="A28" t="s">
        <v>29</v>
      </c>
      <c r="B28" t="str">
        <f>_xlfn.XLOOKUP(A28,'[1]PFV Proyecto Puro'!$D$3:$D$78,'[1]PFV Proyecto Puro'!$C$3:$C$78,"---",0,1)</f>
        <v>ACCIONA ENERGÍA CHILE HOLDINGS S.A.</v>
      </c>
      <c r="C28" t="str">
        <f>_xlfn.XLOOKUP(A28,'[1]PFV Proyecto Puro'!$D$3:$D$78,'[1]PFV Proyecto Puro'!$M$3:$M$78,"---",0,1)</f>
        <v>-</v>
      </c>
      <c r="D28">
        <f>_xlfn.XLOOKUP(A28,'[1]SCORE Técnico 2025'!A$28:A$88,'[1]SCORE Técnico 2025'!M$28:M$88,"---",0,1)</f>
        <v>28</v>
      </c>
      <c r="E28">
        <f>_xlfn.XLOOKUP(A28,'[1]SCORE Técnico Promedio'!A$30:A$761,'[1]SCORE Técnico Promedio'!M$30:M$761,"---",0,1)</f>
        <v>23</v>
      </c>
      <c r="F28" s="4">
        <f>_xlfn.XLOOKUP(A28,'[1]PFV Proyecto Puro'!D$3:D$78,'[1]PFV Proyecto Puro'!CD$3:CD$78,"---",0,1)</f>
        <v>101.99069847540675</v>
      </c>
      <c r="G28" s="6">
        <f>_xlfn.XLOOKUP(A28,'[1]PFV Proyecto Puro'!D$3:D$78,'[1]PFV Proyecto Puro'!CE$3:CE$78,"---",0,1)</f>
        <v>71.964555409210689</v>
      </c>
      <c r="H28">
        <f>_xlfn.XLOOKUP(A28,'[1]SCORE comercial'!A$28:A$760,'[1]SCORE comercial'!H$28:H$760,"---",0,1)</f>
        <v>7</v>
      </c>
      <c r="I28">
        <f>_xlfn.XLOOKUP(A28,'[1]SCORE comercial'!A$28:A$760,'[1]SCORE comercial'!K$28:K$760,"---",0,1)</f>
        <v>5</v>
      </c>
    </row>
    <row r="29" spans="1:9" x14ac:dyDescent="0.3">
      <c r="A29" t="s">
        <v>12</v>
      </c>
      <c r="B29" t="str">
        <f>_xlfn.XLOOKUP(A29,'[1]PFV Proyecto Puro'!$D$3:$D$78,'[1]PFV Proyecto Puro'!$C$3:$C$78,"---",0,1)</f>
        <v>CONEJO SOLAR SPA</v>
      </c>
      <c r="C29" t="str">
        <f>_xlfn.XLOOKUP(A29,'[1]PFV Proyecto Puro'!$D$3:$D$78,'[1]PFV Proyecto Puro'!$M$3:$M$78,"---",0,1)</f>
        <v>-</v>
      </c>
      <c r="D29">
        <f>_xlfn.XLOOKUP(A29,'[1]SCORE Técnico 2025'!A$28:A$88,'[1]SCORE Técnico 2025'!M$28:M$88,"---",0,1)</f>
        <v>18</v>
      </c>
      <c r="E29">
        <f>_xlfn.XLOOKUP(A29,'[1]SCORE Técnico Promedio'!A$30:A$761,'[1]SCORE Técnico Promedio'!M$30:M$761,"---",0,1)</f>
        <v>18</v>
      </c>
      <c r="F29" s="4">
        <f>_xlfn.XLOOKUP(A29,'[1]PFV Proyecto Puro'!D$3:D$78,'[1]PFV Proyecto Puro'!CD$3:CD$78,"---",0,1)</f>
        <v>97.844422713934776</v>
      </c>
      <c r="G29" s="6">
        <f>_xlfn.XLOOKUP(A29,'[1]PFV Proyecto Puro'!D$3:D$78,'[1]PFV Proyecto Puro'!CE$3:CE$78,"---",0,1)</f>
        <v>97.238183111387499</v>
      </c>
      <c r="H29">
        <f>_xlfn.XLOOKUP(A29,'[1]SCORE comercial'!A$28:A$760,'[1]SCORE comercial'!H$28:H$760,"---",0,1)</f>
        <v>6</v>
      </c>
      <c r="I29">
        <f>_xlfn.XLOOKUP(A29,'[1]SCORE comercial'!A$28:A$760,'[1]SCORE comercial'!K$28:K$760,"---",0,1)</f>
        <v>6</v>
      </c>
    </row>
    <row r="30" spans="1:9" x14ac:dyDescent="0.3">
      <c r="A30" t="s">
        <v>39</v>
      </c>
      <c r="B30" t="str">
        <f>_xlfn.XLOOKUP(A30,'[1]PFV Proyecto Puro'!$D$3:$D$78,'[1]PFV Proyecto Puro'!$C$3:$C$78,"---",0,1)</f>
        <v>OPDENERGY GENERACIÓN SPA</v>
      </c>
      <c r="C30" t="str">
        <f>_xlfn.XLOOKUP(A30,'[1]PFV Proyecto Puro'!$D$3:$D$78,'[1]PFV Proyecto Puro'!$M$3:$M$78,"---",0,1)</f>
        <v>Existente</v>
      </c>
      <c r="D30">
        <f>_xlfn.XLOOKUP(A30,'[1]SCORE Técnico 2025'!A$28:A$88,'[1]SCORE Técnico 2025'!M$28:M$88,"---",0,1)</f>
        <v>23</v>
      </c>
      <c r="E30">
        <f>_xlfn.XLOOKUP(A30,'[1]SCORE Técnico Promedio'!A$30:A$761,'[1]SCORE Técnico Promedio'!M$30:M$761,"---",0,1)</f>
        <v>21</v>
      </c>
      <c r="F30" s="4">
        <f>_xlfn.XLOOKUP(A30,'[1]PFV Proyecto Puro'!D$3:D$78,'[1]PFV Proyecto Puro'!CD$3:CD$78,"---",0,1)</f>
        <v>96.151671241546708</v>
      </c>
      <c r="G30" s="6">
        <f>_xlfn.XLOOKUP(A30,'[1]PFV Proyecto Puro'!D$3:D$78,'[1]PFV Proyecto Puro'!CE$3:CE$78,"---",0,1)</f>
        <v>63.301005566807682</v>
      </c>
      <c r="H30">
        <f>_xlfn.XLOOKUP(A30,'[1]SCORE comercial'!A$28:A$760,'[1]SCORE comercial'!H$28:H$760,"---",0,1)</f>
        <v>6</v>
      </c>
      <c r="I30">
        <f>_xlfn.XLOOKUP(A30,'[1]SCORE comercial'!A$28:A$760,'[1]SCORE comercial'!K$28:K$760,"---",0,1)</f>
        <v>5</v>
      </c>
    </row>
    <row r="31" spans="1:9" x14ac:dyDescent="0.3">
      <c r="A31" t="s">
        <v>22</v>
      </c>
      <c r="B31" t="str">
        <f>_xlfn.XLOOKUP(A31,'[1]PFV Proyecto Puro'!$D$3:$D$78,'[1]PFV Proyecto Puro'!$C$3:$C$78,"---",0,1)</f>
        <v>BOLERO SPA</v>
      </c>
      <c r="C31" t="str">
        <f>_xlfn.XLOOKUP(A31,'[1]PFV Proyecto Puro'!$D$3:$D$78,'[1]PFV Proyecto Puro'!$M$3:$M$78,"---",0,1)</f>
        <v>Existente</v>
      </c>
      <c r="D31">
        <f>_xlfn.XLOOKUP(A31,'[1]SCORE Técnico 2025'!A$28:A$88,'[1]SCORE Técnico 2025'!M$28:M$88,"---",0,1)</f>
        <v>29</v>
      </c>
      <c r="E31">
        <f>_xlfn.XLOOKUP(A31,'[1]SCORE Técnico Promedio'!A$30:A$761,'[1]SCORE Técnico Promedio'!M$30:M$761,"---",0,1)</f>
        <v>24</v>
      </c>
      <c r="F31" s="4">
        <f>_xlfn.XLOOKUP(A31,'[1]PFV Proyecto Puro'!D$3:D$78,'[1]PFV Proyecto Puro'!CD$3:CD$78,"---",0,1)</f>
        <v>95.498581478081192</v>
      </c>
      <c r="G31" s="6">
        <f>_xlfn.XLOOKUP(A31,'[1]PFV Proyecto Puro'!D$3:D$78,'[1]PFV Proyecto Puro'!CE$3:CE$78,"---",0,1)</f>
        <v>91.571363913723303</v>
      </c>
      <c r="H31">
        <f>_xlfn.XLOOKUP(A31,'[1]SCORE comercial'!A$28:A$760,'[1]SCORE comercial'!H$28:H$760,"---",0,1)</f>
        <v>6</v>
      </c>
      <c r="I31">
        <f>_xlfn.XLOOKUP(A31,'[1]SCORE comercial'!A$28:A$760,'[1]SCORE comercial'!K$28:K$760,"---",0,1)</f>
        <v>6</v>
      </c>
    </row>
    <row r="32" spans="1:9" x14ac:dyDescent="0.3">
      <c r="A32" t="s">
        <v>5</v>
      </c>
      <c r="B32" t="str">
        <f>_xlfn.XLOOKUP(A32,'[1]PFV Proyecto Puro'!$D$3:$D$78,'[1]PFV Proyecto Puro'!$C$3:$C$78,"---",0,1)</f>
        <v>AELA GENERACIÓN S.A.</v>
      </c>
      <c r="C32" t="str">
        <f>_xlfn.XLOOKUP(A32,'[1]PFV Proyecto Puro'!$D$3:$D$78,'[1]PFV Proyecto Puro'!$M$3:$M$78,"---",0,1)</f>
        <v>Existente</v>
      </c>
      <c r="D32">
        <f>_xlfn.XLOOKUP(A32,'[1]SCORE Técnico 2025'!A$28:A$88,'[1]SCORE Técnico 2025'!M$28:M$88,"---",0,1)</f>
        <v>27</v>
      </c>
      <c r="E32">
        <f>_xlfn.XLOOKUP(A32,'[1]SCORE Técnico Promedio'!A$30:A$761,'[1]SCORE Técnico Promedio'!M$30:M$761,"---",0,1)</f>
        <v>30</v>
      </c>
      <c r="F32" s="4">
        <f>_xlfn.XLOOKUP(A32,'[1]PFV Proyecto Puro'!D$3:D$78,'[1]PFV Proyecto Puro'!CD$3:CD$78,"---",0,1)</f>
        <v>93.607486248881401</v>
      </c>
      <c r="G32" s="6">
        <f>_xlfn.XLOOKUP(A32,'[1]PFV Proyecto Puro'!D$3:D$78,'[1]PFV Proyecto Puro'!CE$3:CE$78,"---",0,1)</f>
        <v>279.63938708891095</v>
      </c>
      <c r="H32">
        <f>_xlfn.XLOOKUP(A32,'[1]SCORE comercial'!A$28:A$760,'[1]SCORE comercial'!H$28:H$760,"---",0,1)</f>
        <v>6</v>
      </c>
      <c r="I32">
        <f>_xlfn.XLOOKUP(A32,'[1]SCORE comercial'!A$28:A$760,'[1]SCORE comercial'!K$28:K$760,"---",0,1)</f>
        <v>10</v>
      </c>
    </row>
    <row r="33" spans="1:9" x14ac:dyDescent="0.3">
      <c r="A33" t="s">
        <v>28</v>
      </c>
      <c r="B33" t="str">
        <f>_xlfn.XLOOKUP(A33,'[1]PFV Proyecto Puro'!$D$3:$D$78,'[1]PFV Proyecto Puro'!$C$3:$C$78,"---",0,1)</f>
        <v>TSGF SPA</v>
      </c>
      <c r="C33" t="str">
        <f>_xlfn.XLOOKUP(A33,'[1]PFV Proyecto Puro'!$D$3:$D$78,'[1]PFV Proyecto Puro'!$M$3:$M$78,"---",0,1)</f>
        <v>-</v>
      </c>
      <c r="D33">
        <f>_xlfn.XLOOKUP(A33,'[1]SCORE Técnico 2025'!A$28:A$88,'[1]SCORE Técnico 2025'!M$28:M$88,"---",0,1)</f>
        <v>33</v>
      </c>
      <c r="E33">
        <f>_xlfn.XLOOKUP(A33,'[1]SCORE Técnico Promedio'!A$30:A$761,'[1]SCORE Técnico Promedio'!M$30:M$761,"---",0,1)</f>
        <v>30</v>
      </c>
      <c r="F33" s="4">
        <f>_xlfn.XLOOKUP(A33,'[1]PFV Proyecto Puro'!D$3:D$78,'[1]PFV Proyecto Puro'!CD$3:CD$78,"---",0,1)</f>
        <v>92.990504377886353</v>
      </c>
      <c r="G33" s="6">
        <f>_xlfn.XLOOKUP(A33,'[1]PFV Proyecto Puro'!D$3:D$78,'[1]PFV Proyecto Puro'!CE$3:CE$78,"---",0,1)</f>
        <v>137.26143535275247</v>
      </c>
      <c r="H33">
        <f>_xlfn.XLOOKUP(A33,'[1]SCORE comercial'!A$28:A$760,'[1]SCORE comercial'!H$28:H$760,"---",0,1)</f>
        <v>6</v>
      </c>
      <c r="I33">
        <f>_xlfn.XLOOKUP(A33,'[1]SCORE comercial'!A$28:A$760,'[1]SCORE comercial'!K$28:K$760,"---",0,1)</f>
        <v>9</v>
      </c>
    </row>
    <row r="34" spans="1:9" x14ac:dyDescent="0.3">
      <c r="A34" t="s">
        <v>38</v>
      </c>
      <c r="B34" t="str">
        <f>_xlfn.XLOOKUP(A34,'[1]PFV Proyecto Puro'!$D$3:$D$78,'[1]PFV Proyecto Puro'!$C$3:$C$78,"---",0,1)</f>
        <v>ENEL GREEN POWER CHILE S.A.</v>
      </c>
      <c r="C34" t="str">
        <f>_xlfn.XLOOKUP(A34,'[1]PFV Proyecto Puro'!$D$3:$D$78,'[1]PFV Proyecto Puro'!$M$3:$M$78,"---",0,1)</f>
        <v>-</v>
      </c>
      <c r="D34">
        <f>_xlfn.XLOOKUP(A34,'[1]SCORE Técnico 2025'!A$28:A$88,'[1]SCORE Técnico 2025'!M$28:M$88,"---",0,1)</f>
        <v>24</v>
      </c>
      <c r="E34">
        <f>_xlfn.XLOOKUP(A34,'[1]SCORE Técnico Promedio'!A$30:A$761,'[1]SCORE Técnico Promedio'!M$30:M$761,"---",0,1)</f>
        <v>24</v>
      </c>
      <c r="F34" s="4">
        <f>_xlfn.XLOOKUP(A34,'[1]PFV Proyecto Puro'!D$3:D$78,'[1]PFV Proyecto Puro'!CD$3:CD$78,"---",0,1)</f>
        <v>91.398662501573469</v>
      </c>
      <c r="G34" s="6">
        <f>_xlfn.XLOOKUP(A34,'[1]PFV Proyecto Puro'!D$3:D$78,'[1]PFV Proyecto Puro'!CE$3:CE$78,"---",0,1)</f>
        <v>58.595599722111082</v>
      </c>
      <c r="H34">
        <f>_xlfn.XLOOKUP(A34,'[1]SCORE comercial'!A$28:A$760,'[1]SCORE comercial'!H$28:H$760,"---",0,1)</f>
        <v>5</v>
      </c>
      <c r="I34">
        <f>_xlfn.XLOOKUP(A34,'[1]SCORE comercial'!A$28:A$760,'[1]SCORE comercial'!K$28:K$760,"---",0,1)</f>
        <v>4</v>
      </c>
    </row>
    <row r="35" spans="1:9" x14ac:dyDescent="0.3">
      <c r="A35" t="s">
        <v>35</v>
      </c>
      <c r="B35" t="str">
        <f>_xlfn.XLOOKUP(A35,'[1]PFV Proyecto Puro'!$D$3:$D$78,'[1]PFV Proyecto Puro'!$C$3:$C$78,"---",0,1)</f>
        <v>ENEL GREEN POWER CHILE S.A.</v>
      </c>
      <c r="C35" t="str">
        <f>_xlfn.XLOOKUP(A35,'[1]PFV Proyecto Puro'!$D$3:$D$78,'[1]PFV Proyecto Puro'!$M$3:$M$78,"---",0,1)</f>
        <v>Construcción</v>
      </c>
      <c r="D35">
        <f>_xlfn.XLOOKUP(A35,'[1]SCORE Técnico 2025'!A$28:A$88,'[1]SCORE Técnico 2025'!M$28:M$88,"---",0,1)</f>
        <v>22</v>
      </c>
      <c r="E35">
        <f>_xlfn.XLOOKUP(A35,'[1]SCORE Técnico Promedio'!A$30:A$761,'[1]SCORE Técnico Promedio'!M$30:M$761,"---",0,1)</f>
        <v>22</v>
      </c>
      <c r="F35" s="4">
        <f>_xlfn.XLOOKUP(A35,'[1]PFV Proyecto Puro'!D$3:D$78,'[1]PFV Proyecto Puro'!CD$3:CD$78,"---",0,1)</f>
        <v>90.663901448570243</v>
      </c>
      <c r="G35" s="6">
        <f>_xlfn.XLOOKUP(A35,'[1]PFV Proyecto Puro'!D$3:D$78,'[1]PFV Proyecto Puro'!CE$3:CE$78,"---",0,1)</f>
        <v>58.308560240126781</v>
      </c>
      <c r="H35">
        <f>_xlfn.XLOOKUP(A35,'[1]SCORE comercial'!A$28:A$760,'[1]SCORE comercial'!H$28:H$760,"---",0,1)</f>
        <v>5</v>
      </c>
      <c r="I35">
        <f>_xlfn.XLOOKUP(A35,'[1]SCORE comercial'!A$28:A$760,'[1]SCORE comercial'!K$28:K$760,"---",0,1)</f>
        <v>4</v>
      </c>
    </row>
    <row r="36" spans="1:9" x14ac:dyDescent="0.3">
      <c r="A36" t="s">
        <v>20</v>
      </c>
      <c r="B36" t="str">
        <f>_xlfn.XLOOKUP(A36,'[1]PFV Proyecto Puro'!$D$3:$D$78,'[1]PFV Proyecto Puro'!$C$3:$C$78,"---",0,1)</f>
        <v>EL PELÍCANO SOLAR COMPANY SPA</v>
      </c>
      <c r="C36" t="str">
        <f>_xlfn.XLOOKUP(A36,'[1]PFV Proyecto Puro'!$D$3:$D$78,'[1]PFV Proyecto Puro'!$M$3:$M$78,"---",0,1)</f>
        <v>Construcción</v>
      </c>
      <c r="D36">
        <f>_xlfn.XLOOKUP(A36,'[1]SCORE Técnico 2025'!A$28:A$88,'[1]SCORE Técnico 2025'!M$28:M$88,"---",0,1)</f>
        <v>26</v>
      </c>
      <c r="E36">
        <f>_xlfn.XLOOKUP(A36,'[1]SCORE Técnico Promedio'!A$30:A$761,'[1]SCORE Técnico Promedio'!M$30:M$761,"---",0,1)</f>
        <v>27</v>
      </c>
      <c r="F36" s="4">
        <f>_xlfn.XLOOKUP(A36,'[1]PFV Proyecto Puro'!D$3:D$78,'[1]PFV Proyecto Puro'!CD$3:CD$78,"---",0,1)</f>
        <v>87.353465167615525</v>
      </c>
      <c r="G36" s="6">
        <f>_xlfn.XLOOKUP(A36,'[1]PFV Proyecto Puro'!D$3:D$78,'[1]PFV Proyecto Puro'!CE$3:CE$78,"---",0,1)</f>
        <v>85.46269087234684</v>
      </c>
      <c r="H36">
        <f>_xlfn.XLOOKUP(A36,'[1]SCORE comercial'!A$28:A$760,'[1]SCORE comercial'!H$28:H$760,"---",0,1)</f>
        <v>5</v>
      </c>
      <c r="I36">
        <f>_xlfn.XLOOKUP(A36,'[1]SCORE comercial'!A$28:A$760,'[1]SCORE comercial'!K$28:K$760,"---",0,1)</f>
        <v>6</v>
      </c>
    </row>
    <row r="37" spans="1:9" x14ac:dyDescent="0.3">
      <c r="A37" t="s">
        <v>23</v>
      </c>
      <c r="B37" t="str">
        <f>_xlfn.XLOOKUP(A37,'[1]PFV Proyecto Puro'!$D$3:$D$78,'[1]PFV Proyecto Puro'!$C$3:$C$78,"---",0,1)</f>
        <v>CERRO DOMINADOR CSP S.A.</v>
      </c>
      <c r="C37" t="str">
        <f>_xlfn.XLOOKUP(A37,'[1]PFV Proyecto Puro'!$D$3:$D$78,'[1]PFV Proyecto Puro'!$M$3:$M$78,"---",0,1)</f>
        <v>-</v>
      </c>
      <c r="D37">
        <f>_xlfn.XLOOKUP(A37,'[1]SCORE Técnico 2025'!A$28:A$88,'[1]SCORE Técnico 2025'!M$28:M$88,"---",0,1)</f>
        <v>21</v>
      </c>
      <c r="E37">
        <f>_xlfn.XLOOKUP(A37,'[1]SCORE Técnico Promedio'!A$30:A$761,'[1]SCORE Técnico Promedio'!M$30:M$761,"---",0,1)</f>
        <v>17</v>
      </c>
      <c r="F37" s="4">
        <f>_xlfn.XLOOKUP(A37,'[1]PFV Proyecto Puro'!D$3:D$78,'[1]PFV Proyecto Puro'!CD$3:CD$78,"---",0,1)</f>
        <v>81.329008645014241</v>
      </c>
      <c r="G37" s="6">
        <f>_xlfn.XLOOKUP(A37,'[1]PFV Proyecto Puro'!D$3:D$78,'[1]PFV Proyecto Puro'!CE$3:CE$78,"---",0,1)</f>
        <v>78.097831211286106</v>
      </c>
      <c r="H37">
        <f>_xlfn.XLOOKUP(A37,'[1]SCORE comercial'!A$28:A$760,'[1]SCORE comercial'!H$28:H$760,"---",0,1)</f>
        <v>5</v>
      </c>
      <c r="I37">
        <f>_xlfn.XLOOKUP(A37,'[1]SCORE comercial'!A$28:A$760,'[1]SCORE comercial'!K$28:K$760,"---",0,1)</f>
        <v>6</v>
      </c>
    </row>
    <row r="38" spans="1:9" x14ac:dyDescent="0.3">
      <c r="A38" t="s">
        <v>21</v>
      </c>
      <c r="B38" t="str">
        <f>_xlfn.XLOOKUP(A38,'[1]PFV Proyecto Puro'!$D$3:$D$78,'[1]PFV Proyecto Puro'!$C$3:$C$78,"---",0,1)</f>
        <v>FOTOVOLTAICA NORTE GRANDE 5 SPA</v>
      </c>
      <c r="C38" t="str">
        <f>_xlfn.XLOOKUP(A38,'[1]PFV Proyecto Puro'!$D$3:$D$78,'[1]PFV Proyecto Puro'!$M$3:$M$78,"---",0,1)</f>
        <v>Existente</v>
      </c>
      <c r="D38">
        <f>_xlfn.XLOOKUP(A38,'[1]SCORE Técnico 2025'!A$28:A$88,'[1]SCORE Técnico 2025'!M$28:M$88,"---",0,1)</f>
        <v>28</v>
      </c>
      <c r="E38">
        <f>_xlfn.XLOOKUP(A38,'[1]SCORE Técnico Promedio'!A$30:A$761,'[1]SCORE Técnico Promedio'!M$30:M$761,"---",0,1)</f>
        <v>27</v>
      </c>
      <c r="F38" s="4">
        <f>_xlfn.XLOOKUP(A38,'[1]PFV Proyecto Puro'!D$3:D$78,'[1]PFV Proyecto Puro'!CD$3:CD$78,"---",0,1)</f>
        <v>77.489457860750406</v>
      </c>
      <c r="G38" s="6">
        <f>_xlfn.XLOOKUP(A38,'[1]PFV Proyecto Puro'!D$3:D$78,'[1]PFV Proyecto Puro'!CE$3:CE$78,"---",0,1)</f>
        <v>96.082038641272788</v>
      </c>
      <c r="H38">
        <f>_xlfn.XLOOKUP(A38,'[1]SCORE comercial'!A$28:A$760,'[1]SCORE comercial'!H$28:H$760,"---",0,1)</f>
        <v>5</v>
      </c>
      <c r="I38">
        <f>_xlfn.XLOOKUP(A38,'[1]SCORE comercial'!A$28:A$760,'[1]SCORE comercial'!K$28:K$760,"---",0,1)</f>
        <v>6</v>
      </c>
    </row>
    <row r="39" spans="1:9" x14ac:dyDescent="0.3">
      <c r="A39" t="s">
        <v>1</v>
      </c>
      <c r="B39" t="str">
        <f>_xlfn.XLOOKUP(A39,'[1]PFV Proyecto Puro'!$D$3:$D$78,'[1]PFV Proyecto Puro'!$C$3:$C$78,"---",0,1)</f>
        <v>AELA GENERACIÓN S.A.</v>
      </c>
      <c r="C39" t="str">
        <f>_xlfn.XLOOKUP(A39,'[1]PFV Proyecto Puro'!$D$3:$D$78,'[1]PFV Proyecto Puro'!$M$3:$M$78,"---",0,1)</f>
        <v>Existente + Construcción</v>
      </c>
      <c r="D39">
        <f>_xlfn.XLOOKUP(A39,'[1]SCORE Técnico 2025'!A$28:A$88,'[1]SCORE Técnico 2025'!M$28:M$88,"---",0,1)</f>
        <v>26</v>
      </c>
      <c r="E39">
        <f>_xlfn.XLOOKUP(A39,'[1]SCORE Técnico Promedio'!A$30:A$761,'[1]SCORE Técnico Promedio'!M$30:M$761,"---",0,1)</f>
        <v>25</v>
      </c>
      <c r="F39" s="4">
        <f>_xlfn.XLOOKUP(A39,'[1]PFV Proyecto Puro'!D$3:D$78,'[1]PFV Proyecto Puro'!CD$3:CD$78,"---",0,1)</f>
        <v>76.428287381574279</v>
      </c>
      <c r="G39" s="6">
        <f>_xlfn.XLOOKUP(A39,'[1]PFV Proyecto Puro'!D$3:D$78,'[1]PFV Proyecto Puro'!CE$3:CE$78,"---",0,1)</f>
        <v>213.69474255136006</v>
      </c>
      <c r="H39">
        <f>_xlfn.XLOOKUP(A39,'[1]SCORE comercial'!A$28:A$760,'[1]SCORE comercial'!H$28:H$760,"---",0,1)</f>
        <v>5</v>
      </c>
      <c r="I39">
        <f>_xlfn.XLOOKUP(A39,'[1]SCORE comercial'!A$28:A$760,'[1]SCORE comercial'!K$28:K$760,"---",0,1)</f>
        <v>10</v>
      </c>
    </row>
    <row r="40" spans="1:9" x14ac:dyDescent="0.3">
      <c r="A40" t="s">
        <v>30</v>
      </c>
      <c r="B40" t="str">
        <f>_xlfn.XLOOKUP(A40,'[1]PFV Proyecto Puro'!$D$3:$D$78,'[1]PFV Proyecto Puro'!$C$3:$C$78,"---",0,1)</f>
        <v>PARQUE FOTOVOLTAICO NUEVO QUILLAGUA SPA</v>
      </c>
      <c r="C40" t="str">
        <f>_xlfn.XLOOKUP(A40,'[1]PFV Proyecto Puro'!$D$3:$D$78,'[1]PFV Proyecto Puro'!$M$3:$M$78,"---",0,1)</f>
        <v>Existente</v>
      </c>
      <c r="D40">
        <f>_xlfn.XLOOKUP(A40,'[1]SCORE Técnico 2025'!A$28:A$88,'[1]SCORE Técnico 2025'!M$28:M$88,"---",0,1)</f>
        <v>18</v>
      </c>
      <c r="E40">
        <f>_xlfn.XLOOKUP(A40,'[1]SCORE Técnico Promedio'!A$30:A$761,'[1]SCORE Técnico Promedio'!M$30:M$761,"---",0,1)</f>
        <v>18</v>
      </c>
      <c r="F40" s="4">
        <f>_xlfn.XLOOKUP(A40,'[1]PFV Proyecto Puro'!D$3:D$78,'[1]PFV Proyecto Puro'!CD$3:CD$78,"---",0,1)</f>
        <v>74.352491824072459</v>
      </c>
      <c r="G40" s="6">
        <f>_xlfn.XLOOKUP(A40,'[1]PFV Proyecto Puro'!D$3:D$78,'[1]PFV Proyecto Puro'!CE$3:CE$78,"---",0,1)</f>
        <v>62.959486745461732</v>
      </c>
      <c r="H40">
        <f>_xlfn.XLOOKUP(A40,'[1]SCORE comercial'!A$28:A$760,'[1]SCORE comercial'!H$28:H$760,"---",0,1)</f>
        <v>5</v>
      </c>
      <c r="I40">
        <f>_xlfn.XLOOKUP(A40,'[1]SCORE comercial'!A$28:A$760,'[1]SCORE comercial'!K$28:K$760,"---",0,1)</f>
        <v>5</v>
      </c>
    </row>
    <row r="41" spans="1:9" x14ac:dyDescent="0.3">
      <c r="A41" t="s">
        <v>25</v>
      </c>
      <c r="B41" t="str">
        <f>_xlfn.XLOOKUP(A41,'[1]PFV Proyecto Puro'!$D$3:$D$78,'[1]PFV Proyecto Puro'!$C$3:$C$78,"---",0,1)</f>
        <v>ACCIONA ENERGÍA CHILE HOLDINGS S.A.</v>
      </c>
      <c r="C41" t="str">
        <f>_xlfn.XLOOKUP(A41,'[1]PFV Proyecto Puro'!$D$3:$D$78,'[1]PFV Proyecto Puro'!$M$3:$M$78,"---",0,1)</f>
        <v>-</v>
      </c>
      <c r="D41">
        <f>_xlfn.XLOOKUP(A41,'[1]SCORE Técnico 2025'!A$28:A$88,'[1]SCORE Técnico 2025'!M$28:M$88,"---",0,1)</f>
        <v>31</v>
      </c>
      <c r="E41">
        <f>_xlfn.XLOOKUP(A41,'[1]SCORE Técnico Promedio'!A$30:A$761,'[1]SCORE Técnico Promedio'!M$30:M$761,"---",0,1)</f>
        <v>27</v>
      </c>
      <c r="F41" s="4">
        <f>_xlfn.XLOOKUP(A41,'[1]PFV Proyecto Puro'!D$3:D$78,'[1]PFV Proyecto Puro'!CD$3:CD$78,"---",0,1)</f>
        <v>72.185778981537624</v>
      </c>
      <c r="G41" s="6">
        <f>_xlfn.XLOOKUP(A41,'[1]PFV Proyecto Puro'!D$3:D$78,'[1]PFV Proyecto Puro'!CE$3:CE$78,"---",0,1)</f>
        <v>56.377157688509307</v>
      </c>
      <c r="H41">
        <f>_xlfn.XLOOKUP(A41,'[1]SCORE comercial'!A$28:A$760,'[1]SCORE comercial'!H$28:H$760,"---",0,1)</f>
        <v>5</v>
      </c>
      <c r="I41">
        <f>_xlfn.XLOOKUP(A41,'[1]SCORE comercial'!A$28:A$760,'[1]SCORE comercial'!K$28:K$760,"---",0,1)</f>
        <v>4</v>
      </c>
    </row>
    <row r="42" spans="1:9" x14ac:dyDescent="0.3">
      <c r="A42" t="s">
        <v>59</v>
      </c>
      <c r="B42" t="str">
        <f>_xlfn.XLOOKUP(A42,'[1]PFV Proyecto Puro'!$D$3:$D$78,'[1]PFV Proyecto Puro'!$C$3:$C$78,"---",0,1)</f>
        <v>PARQUE FOTOVOLTAICO NUEVO QUILLAGUA SPA</v>
      </c>
      <c r="C42" t="str">
        <f>_xlfn.XLOOKUP(A42,'[1]PFV Proyecto Puro'!$D$3:$D$78,'[1]PFV Proyecto Puro'!$M$3:$M$78,"---",0,1)</f>
        <v>Existente</v>
      </c>
      <c r="D42">
        <f>_xlfn.XLOOKUP(A42,'[1]SCORE Técnico 2025'!A$28:A$88,'[1]SCORE Técnico 2025'!M$28:M$88,"---",0,1)</f>
        <v>22</v>
      </c>
      <c r="E42">
        <f>_xlfn.XLOOKUP(A42,'[1]SCORE Técnico Promedio'!A$30:A$761,'[1]SCORE Técnico Promedio'!M$30:M$761,"---",0,1)</f>
        <v>22</v>
      </c>
      <c r="F42" s="4">
        <f>_xlfn.XLOOKUP(A42,'[1]PFV Proyecto Puro'!D$3:D$78,'[1]PFV Proyecto Puro'!CD$3:CD$78,"---",0,1)</f>
        <v>63.442273740022721</v>
      </c>
      <c r="G42" s="6" t="str">
        <f>_xlfn.XLOOKUP(A42,'[1]PFV Proyecto Puro'!D$3:D$78,'[1]PFV Proyecto Puro'!CE$3:CE$78,"---",0,1)</f>
        <v>-</v>
      </c>
      <c r="H42">
        <f>_xlfn.XLOOKUP(A42,'[1]SCORE comercial'!A$28:A$760,'[1]SCORE comercial'!H$28:H$760,"---",0,1)</f>
        <v>4</v>
      </c>
      <c r="I42" t="str">
        <f>_xlfn.XLOOKUP(A42,'[1]SCORE comercial'!A$28:A$760,'[1]SCORE comercial'!K$28:K$760,"---",0,1)</f>
        <v>-</v>
      </c>
    </row>
    <row r="43" spans="1:9" x14ac:dyDescent="0.3">
      <c r="A43" t="s">
        <v>34</v>
      </c>
      <c r="B43" t="str">
        <f>_xlfn.XLOOKUP(A43,'[1]PFV Proyecto Puro'!$D$3:$D$78,'[1]PFV Proyecto Puro'!$C$3:$C$78,"---",0,1)</f>
        <v>CÓNDOR ENERGÍA SPA</v>
      </c>
      <c r="C43" t="str">
        <f>_xlfn.XLOOKUP(A43,'[1]PFV Proyecto Puro'!$D$3:$D$78,'[1]PFV Proyecto Puro'!$M$3:$M$78,"---",0,1)</f>
        <v>-</v>
      </c>
      <c r="D43">
        <f>_xlfn.XLOOKUP(A43,'[1]SCORE Técnico 2025'!A$28:A$88,'[1]SCORE Técnico 2025'!M$28:M$88,"---",0,1)</f>
        <v>26</v>
      </c>
      <c r="E43">
        <f>_xlfn.XLOOKUP(A43,'[1]SCORE Técnico Promedio'!A$30:A$761,'[1]SCORE Técnico Promedio'!M$30:M$761,"---",0,1)</f>
        <v>24</v>
      </c>
      <c r="F43" s="4">
        <f>_xlfn.XLOOKUP(A43,'[1]PFV Proyecto Puro'!D$3:D$78,'[1]PFV Proyecto Puro'!CD$3:CD$78,"---",0,1)</f>
        <v>63.352321353673524</v>
      </c>
      <c r="G43" s="6">
        <f>_xlfn.XLOOKUP(A43,'[1]PFV Proyecto Puro'!D$3:D$78,'[1]PFV Proyecto Puro'!CE$3:CE$78,"---",0,1)</f>
        <v>58.213209897553845</v>
      </c>
      <c r="H43">
        <f>_xlfn.XLOOKUP(A43,'[1]SCORE comercial'!A$28:A$760,'[1]SCORE comercial'!H$28:H$760,"---",0,1)</f>
        <v>4</v>
      </c>
      <c r="I43">
        <f>_xlfn.XLOOKUP(A43,'[1]SCORE comercial'!A$28:A$760,'[1]SCORE comercial'!K$28:K$760,"---",0,1)</f>
        <v>4</v>
      </c>
    </row>
    <row r="44" spans="1:9" x14ac:dyDescent="0.3">
      <c r="A44" t="s">
        <v>55</v>
      </c>
      <c r="B44" t="str">
        <f>_xlfn.XLOOKUP(A44,'[1]PFV Proyecto Puro'!$D$3:$D$78,'[1]PFV Proyecto Puro'!$C$3:$C$78,"---",0,1)</f>
        <v>PARQUE SOLAR LEYDA SPA</v>
      </c>
      <c r="C44" t="str">
        <f>_xlfn.XLOOKUP(A44,'[1]PFV Proyecto Puro'!$D$3:$D$78,'[1]PFV Proyecto Puro'!$M$3:$M$78,"---",0,1)</f>
        <v>-</v>
      </c>
      <c r="D44">
        <f>_xlfn.XLOOKUP(A44,'[1]SCORE Técnico 2025'!A$28:A$88,'[1]SCORE Técnico 2025'!M$28:M$88,"---",0,1)</f>
        <v>27</v>
      </c>
      <c r="E44">
        <f>_xlfn.XLOOKUP(A44,'[1]SCORE Técnico Promedio'!A$30:A$761,'[1]SCORE Técnico Promedio'!M$30:M$761,"---",0,1)</f>
        <v>27</v>
      </c>
      <c r="F44" s="4">
        <f>_xlfn.XLOOKUP(A44,'[1]PFV Proyecto Puro'!D$3:D$78,'[1]PFV Proyecto Puro'!CD$3:CD$78,"---",0,1)</f>
        <v>62.577762755201285</v>
      </c>
      <c r="G44" s="6" t="str">
        <f>_xlfn.XLOOKUP(A44,'[1]PFV Proyecto Puro'!D$3:D$78,'[1]PFV Proyecto Puro'!CE$3:CE$78,"---",0,1)</f>
        <v>-</v>
      </c>
      <c r="H44">
        <f>_xlfn.XLOOKUP(A44,'[1]SCORE comercial'!A$28:A$760,'[1]SCORE comercial'!H$28:H$760,"---",0,1)</f>
        <v>4</v>
      </c>
      <c r="I44" t="str">
        <f>_xlfn.XLOOKUP(A44,'[1]SCORE comercial'!A$28:A$760,'[1]SCORE comercial'!K$28:K$760,"---",0,1)</f>
        <v>-</v>
      </c>
    </row>
    <row r="45" spans="1:9" x14ac:dyDescent="0.3">
      <c r="A45" t="s">
        <v>31</v>
      </c>
      <c r="B45" t="str">
        <f>_xlfn.XLOOKUP(A45,'[1]PFV Proyecto Puro'!$D$3:$D$78,'[1]PFV Proyecto Puro'!$C$3:$C$78,"---",0,1)</f>
        <v>ATACAMA SOLAR SPA</v>
      </c>
      <c r="C45" t="str">
        <f>_xlfn.XLOOKUP(A45,'[1]PFV Proyecto Puro'!$D$3:$D$78,'[1]PFV Proyecto Puro'!$M$3:$M$78,"---",0,1)</f>
        <v>Construcción</v>
      </c>
      <c r="D45">
        <f>_xlfn.XLOOKUP(A45,'[1]SCORE Técnico 2025'!A$28:A$88,'[1]SCORE Técnico 2025'!M$28:M$88,"---",0,1)</f>
        <v>27</v>
      </c>
      <c r="E45">
        <f>_xlfn.XLOOKUP(A45,'[1]SCORE Técnico Promedio'!A$30:A$761,'[1]SCORE Técnico Promedio'!M$30:M$761,"---",0,1)</f>
        <v>24</v>
      </c>
      <c r="F45" s="4">
        <f>_xlfn.XLOOKUP(A45,'[1]PFV Proyecto Puro'!D$3:D$78,'[1]PFV Proyecto Puro'!CD$3:CD$78,"---",0,1)</f>
        <v>62.216151585762177</v>
      </c>
      <c r="G45" s="6">
        <f>_xlfn.XLOOKUP(A45,'[1]PFV Proyecto Puro'!D$3:D$78,'[1]PFV Proyecto Puro'!CE$3:CE$78,"---",0,1)</f>
        <v>51.173475954890485</v>
      </c>
      <c r="H45">
        <f>_xlfn.XLOOKUP(A45,'[1]SCORE comercial'!A$28:A$760,'[1]SCORE comercial'!H$28:H$760,"---",0,1)</f>
        <v>4</v>
      </c>
      <c r="I45">
        <f>_xlfn.XLOOKUP(A45,'[1]SCORE comercial'!A$28:A$760,'[1]SCORE comercial'!K$28:K$760,"---",0,1)</f>
        <v>3</v>
      </c>
    </row>
    <row r="46" spans="1:9" x14ac:dyDescent="0.3">
      <c r="A46" t="s">
        <v>44</v>
      </c>
      <c r="B46" t="str">
        <f>_xlfn.XLOOKUP(A46,'[1]PFV Proyecto Puro'!$D$3:$D$78,'[1]PFV Proyecto Puro'!$C$3:$C$78,"---",0,1)</f>
        <v>INVERSIONES FOTOVOLTAICAS SPA</v>
      </c>
      <c r="C46" t="str">
        <f>_xlfn.XLOOKUP(A46,'[1]PFV Proyecto Puro'!$D$3:$D$78,'[1]PFV Proyecto Puro'!$M$3:$M$78,"---",0,1)</f>
        <v>Construcción</v>
      </c>
      <c r="D46">
        <f>_xlfn.XLOOKUP(A46,'[1]SCORE Técnico 2025'!A$28:A$88,'[1]SCORE Técnico 2025'!M$28:M$88,"---",0,1)</f>
        <v>25</v>
      </c>
      <c r="E46">
        <f>_xlfn.XLOOKUP(A46,'[1]SCORE Técnico Promedio'!A$30:A$761,'[1]SCORE Técnico Promedio'!M$30:M$761,"---",0,1)</f>
        <v>25</v>
      </c>
      <c r="F46" s="4">
        <f>_xlfn.XLOOKUP(A46,'[1]PFV Proyecto Puro'!D$3:D$78,'[1]PFV Proyecto Puro'!CD$3:CD$78,"---",0,1)</f>
        <v>60.129708168778912</v>
      </c>
      <c r="G46" s="6">
        <f>_xlfn.XLOOKUP(A46,'[1]PFV Proyecto Puro'!D$3:D$78,'[1]PFV Proyecto Puro'!CE$3:CE$78,"---",0,1)</f>
        <v>60.129708168778912</v>
      </c>
      <c r="H46">
        <f>_xlfn.XLOOKUP(A46,'[1]SCORE comercial'!A$28:A$760,'[1]SCORE comercial'!H$28:H$760,"---",0,1)</f>
        <v>4</v>
      </c>
      <c r="I46">
        <f>_xlfn.XLOOKUP(A46,'[1]SCORE comercial'!A$28:A$760,'[1]SCORE comercial'!K$28:K$760,"---",0,1)</f>
        <v>4</v>
      </c>
    </row>
    <row r="47" spans="1:9" x14ac:dyDescent="0.3">
      <c r="A47" t="s">
        <v>11</v>
      </c>
      <c r="B47" t="str">
        <f>_xlfn.XLOOKUP(A47,'[1]PFV Proyecto Puro'!$D$3:$D$78,'[1]PFV Proyecto Puro'!$C$3:$C$78,"---",0,1)</f>
        <v>SOLAR LOS LOROS SPA</v>
      </c>
      <c r="C47" t="str">
        <f>_xlfn.XLOOKUP(A47,'[1]PFV Proyecto Puro'!$D$3:$D$78,'[1]PFV Proyecto Puro'!$M$3:$M$78,"---",0,1)</f>
        <v>Existente</v>
      </c>
      <c r="D47">
        <f>_xlfn.XLOOKUP(A47,'[1]SCORE Técnico 2025'!A$28:A$88,'[1]SCORE Técnico 2025'!M$28:M$88,"---",0,1)</f>
        <v>28</v>
      </c>
      <c r="E47">
        <f>_xlfn.XLOOKUP(A47,'[1]SCORE Técnico Promedio'!A$30:A$761,'[1]SCORE Técnico Promedio'!M$30:M$761,"---",0,1)</f>
        <v>26</v>
      </c>
      <c r="F47" s="4">
        <f>_xlfn.XLOOKUP(A47,'[1]PFV Proyecto Puro'!D$3:D$78,'[1]PFV Proyecto Puro'!CD$3:CD$78,"---",0,1)</f>
        <v>58.793466696212718</v>
      </c>
      <c r="G47" s="6">
        <f>_xlfn.XLOOKUP(A47,'[1]PFV Proyecto Puro'!D$3:D$78,'[1]PFV Proyecto Puro'!CE$3:CE$78,"---",0,1)</f>
        <v>98.698739826924182</v>
      </c>
      <c r="H47">
        <f>_xlfn.XLOOKUP(A47,'[1]SCORE comercial'!A$28:A$760,'[1]SCORE comercial'!H$28:H$760,"---",0,1)</f>
        <v>4</v>
      </c>
      <c r="I47">
        <f>_xlfn.XLOOKUP(A47,'[1]SCORE comercial'!A$28:A$760,'[1]SCORE comercial'!K$28:K$760,"---",0,1)</f>
        <v>6</v>
      </c>
    </row>
    <row r="48" spans="1:9" x14ac:dyDescent="0.3">
      <c r="A48" t="s">
        <v>32</v>
      </c>
      <c r="B48" t="str">
        <f>_xlfn.XLOOKUP(A48,'[1]PFV Proyecto Puro'!$D$3:$D$78,'[1]PFV Proyecto Puro'!$C$3:$C$78,"---",0,1)</f>
        <v>IBEREÓLICA CABO LEONES II S.A.</v>
      </c>
      <c r="C48" t="str">
        <f>_xlfn.XLOOKUP(A48,'[1]PFV Proyecto Puro'!$D$3:$D$78,'[1]PFV Proyecto Puro'!$M$3:$M$78,"---",0,1)</f>
        <v>-</v>
      </c>
      <c r="D48">
        <f>_xlfn.XLOOKUP(A48,'[1]SCORE Técnico 2025'!A$28:A$88,'[1]SCORE Técnico 2025'!M$28:M$88,"---",0,1)</f>
        <v>22</v>
      </c>
      <c r="E48">
        <f>_xlfn.XLOOKUP(A48,'[1]SCORE Técnico Promedio'!A$30:A$761,'[1]SCORE Técnico Promedio'!M$30:M$761,"---",0,1)</f>
        <v>22</v>
      </c>
      <c r="F48" s="4">
        <f>_xlfn.XLOOKUP(A48,'[1]PFV Proyecto Puro'!D$3:D$78,'[1]PFV Proyecto Puro'!CD$3:CD$78,"---",0,1)</f>
        <v>56.184687451190754</v>
      </c>
      <c r="G48" s="6">
        <f>_xlfn.XLOOKUP(A48,'[1]PFV Proyecto Puro'!D$3:D$78,'[1]PFV Proyecto Puro'!CE$3:CE$78,"---",0,1)</f>
        <v>51.658946411605257</v>
      </c>
      <c r="H48">
        <f>_xlfn.XLOOKUP(A48,'[1]SCORE comercial'!A$28:A$760,'[1]SCORE comercial'!H$28:H$760,"---",0,1)</f>
        <v>3</v>
      </c>
      <c r="I48">
        <f>_xlfn.XLOOKUP(A48,'[1]SCORE comercial'!A$28:A$760,'[1]SCORE comercial'!K$28:K$760,"---",0,1)</f>
        <v>3</v>
      </c>
    </row>
    <row r="49" spans="1:9" x14ac:dyDescent="0.3">
      <c r="A49" t="s">
        <v>33</v>
      </c>
      <c r="B49" t="str">
        <f>_xlfn.XLOOKUP(A49,'[1]PFV Proyecto Puro'!$D$3:$D$78,'[1]PFV Proyecto Puro'!$C$3:$C$78,"---",0,1)</f>
        <v>AUSTRIANSOLAR CHILE SEIS SPA</v>
      </c>
      <c r="C49" t="str">
        <f>_xlfn.XLOOKUP(A49,'[1]PFV Proyecto Puro'!$D$3:$D$78,'[1]PFV Proyecto Puro'!$M$3:$M$78,"---",0,1)</f>
        <v>-</v>
      </c>
      <c r="D49">
        <f>_xlfn.XLOOKUP(A49,'[1]SCORE Técnico 2025'!A$28:A$88,'[1]SCORE Técnico 2025'!M$28:M$88,"---",0,1)</f>
        <v>21</v>
      </c>
      <c r="E49">
        <f>_xlfn.XLOOKUP(A49,'[1]SCORE Técnico Promedio'!A$30:A$761,'[1]SCORE Técnico Promedio'!M$30:M$761,"---",0,1)</f>
        <v>20</v>
      </c>
      <c r="F49" s="4">
        <f>_xlfn.XLOOKUP(A49,'[1]PFV Proyecto Puro'!D$3:D$78,'[1]PFV Proyecto Puro'!CD$3:CD$78,"---",0,1)</f>
        <v>56.144466313767701</v>
      </c>
      <c r="G49" s="6">
        <f>_xlfn.XLOOKUP(A49,'[1]PFV Proyecto Puro'!D$3:D$78,'[1]PFV Proyecto Puro'!CE$3:CE$78,"---",0,1)</f>
        <v>53.422824583531359</v>
      </c>
      <c r="H49">
        <f>_xlfn.XLOOKUP(A49,'[1]SCORE comercial'!A$28:A$760,'[1]SCORE comercial'!H$28:H$760,"---",0,1)</f>
        <v>3</v>
      </c>
      <c r="I49">
        <f>_xlfn.XLOOKUP(A49,'[1]SCORE comercial'!A$28:A$760,'[1]SCORE comercial'!K$28:K$760,"---",0,1)</f>
        <v>3</v>
      </c>
    </row>
    <row r="50" spans="1:9" x14ac:dyDescent="0.3">
      <c r="A50" t="s">
        <v>40</v>
      </c>
      <c r="B50" t="str">
        <f>_xlfn.XLOOKUP(A50,'[1]PFV Proyecto Puro'!$D$3:$D$78,'[1]PFV Proyecto Puro'!$C$3:$C$78,"---",0,1)</f>
        <v>HUEMUL ENERGÍA SPA</v>
      </c>
      <c r="C50" t="str">
        <f>_xlfn.XLOOKUP(A50,'[1]PFV Proyecto Puro'!$D$3:$D$78,'[1]PFV Proyecto Puro'!$M$3:$M$78,"---",0,1)</f>
        <v>-</v>
      </c>
      <c r="D50">
        <f>_xlfn.XLOOKUP(A50,'[1]SCORE Técnico 2025'!A$28:A$88,'[1]SCORE Técnico 2025'!M$28:M$88,"---",0,1)</f>
        <v>28</v>
      </c>
      <c r="E50">
        <f>_xlfn.XLOOKUP(A50,'[1]SCORE Técnico Promedio'!A$30:A$761,'[1]SCORE Técnico Promedio'!M$30:M$761,"---",0,1)</f>
        <v>24</v>
      </c>
      <c r="F50" s="4">
        <f>_xlfn.XLOOKUP(A50,'[1]PFV Proyecto Puro'!D$3:D$78,'[1]PFV Proyecto Puro'!CD$3:CD$78,"---",0,1)</f>
        <v>53.365144868727548</v>
      </c>
      <c r="G50" s="6">
        <f>_xlfn.XLOOKUP(A50,'[1]PFV Proyecto Puro'!D$3:D$78,'[1]PFV Proyecto Puro'!CE$3:CE$78,"---",0,1)</f>
        <v>48.561374555411653</v>
      </c>
      <c r="H50">
        <f>_xlfn.XLOOKUP(A50,'[1]SCORE comercial'!A$28:A$760,'[1]SCORE comercial'!H$28:H$760,"---",0,1)</f>
        <v>3</v>
      </c>
      <c r="I50">
        <f>_xlfn.XLOOKUP(A50,'[1]SCORE comercial'!A$28:A$760,'[1]SCORE comercial'!K$28:K$760,"---",0,1)</f>
        <v>3</v>
      </c>
    </row>
    <row r="51" spans="1:9" x14ac:dyDescent="0.3">
      <c r="A51" t="s">
        <v>54</v>
      </c>
      <c r="B51" t="str">
        <f>_xlfn.XLOOKUP(A51,'[1]PFV Proyecto Puro'!$D$3:$D$78,'[1]PFV Proyecto Puro'!$C$3:$C$78,"---",0,1)</f>
        <v>TAMARICO SOLAR DOS SPA</v>
      </c>
      <c r="C51" t="str">
        <f>_xlfn.XLOOKUP(A51,'[1]PFV Proyecto Puro'!$D$3:$D$78,'[1]PFV Proyecto Puro'!$M$3:$M$78,"---",0,1)</f>
        <v>Construcción</v>
      </c>
      <c r="D51">
        <f>_xlfn.XLOOKUP(A51,'[1]SCORE Técnico 2025'!A$28:A$88,'[1]SCORE Técnico 2025'!M$28:M$88,"---",0,1)</f>
        <v>28</v>
      </c>
      <c r="E51">
        <f>_xlfn.XLOOKUP(A51,'[1]SCORE Técnico Promedio'!A$30:A$761,'[1]SCORE Técnico Promedio'!M$30:M$761,"---",0,1)</f>
        <v>28</v>
      </c>
      <c r="F51" s="4">
        <f>_xlfn.XLOOKUP(A51,'[1]PFV Proyecto Puro'!D$3:D$78,'[1]PFV Proyecto Puro'!CD$3:CD$78,"---",0,1)</f>
        <v>51.529372024830337</v>
      </c>
      <c r="G51" s="6" t="str">
        <f>_xlfn.XLOOKUP(A51,'[1]PFV Proyecto Puro'!D$3:D$78,'[1]PFV Proyecto Puro'!CE$3:CE$78,"---",0,1)</f>
        <v>-</v>
      </c>
      <c r="H51">
        <f>_xlfn.XLOOKUP(A51,'[1]SCORE comercial'!A$28:A$760,'[1]SCORE comercial'!H$28:H$760,"---",0,1)</f>
        <v>3</v>
      </c>
      <c r="I51" t="str">
        <f>_xlfn.XLOOKUP(A51,'[1]SCORE comercial'!A$28:A$760,'[1]SCORE comercial'!K$28:K$760,"---",0,1)</f>
        <v>-</v>
      </c>
    </row>
    <row r="52" spans="1:9" x14ac:dyDescent="0.3">
      <c r="A52" t="s">
        <v>24</v>
      </c>
      <c r="B52" t="str">
        <f>_xlfn.XLOOKUP(A52,'[1]PFV Proyecto Puro'!$D$3:$D$78,'[1]PFV Proyecto Puro'!$C$3:$C$78,"---",0,1)</f>
        <v>AUSTRIANSOLAR CHILE CUATRO SPA</v>
      </c>
      <c r="C52" t="str">
        <f>_xlfn.XLOOKUP(A52,'[1]PFV Proyecto Puro'!$D$3:$D$78,'[1]PFV Proyecto Puro'!$M$3:$M$78,"---",0,1)</f>
        <v>Existente</v>
      </c>
      <c r="D52">
        <f>_xlfn.XLOOKUP(A52,'[1]SCORE Técnico 2025'!A$28:A$88,'[1]SCORE Técnico 2025'!M$28:M$88,"---",0,1)</f>
        <v>25</v>
      </c>
      <c r="E52">
        <f>_xlfn.XLOOKUP(A52,'[1]SCORE Técnico Promedio'!A$30:A$761,'[1]SCORE Técnico Promedio'!M$30:M$761,"---",0,1)</f>
        <v>25</v>
      </c>
      <c r="F52" s="4">
        <f>_xlfn.XLOOKUP(A52,'[1]PFV Proyecto Puro'!D$3:D$78,'[1]PFV Proyecto Puro'!CD$3:CD$78,"---",0,1)</f>
        <v>50.304776192582921</v>
      </c>
      <c r="G52" s="6">
        <f>_xlfn.XLOOKUP(A52,'[1]PFV Proyecto Puro'!D$3:D$78,'[1]PFV Proyecto Puro'!CE$3:CE$78,"---",0,1)</f>
        <v>60.987509864450338</v>
      </c>
      <c r="H52">
        <f>_xlfn.XLOOKUP(A52,'[1]SCORE comercial'!A$28:A$760,'[1]SCORE comercial'!H$28:H$760,"---",0,1)</f>
        <v>2</v>
      </c>
      <c r="I52">
        <f>_xlfn.XLOOKUP(A52,'[1]SCORE comercial'!A$28:A$760,'[1]SCORE comercial'!K$28:K$760,"---",0,1)</f>
        <v>4</v>
      </c>
    </row>
    <row r="53" spans="1:9" x14ac:dyDescent="0.3">
      <c r="A53" t="s">
        <v>37</v>
      </c>
      <c r="B53" t="str">
        <f>_xlfn.XLOOKUP(A53,'[1]PFV Proyecto Puro'!$D$3:$D$78,'[1]PFV Proyecto Puro'!$C$3:$C$78,"---",0,1)</f>
        <v>FOTOVOLTAICA NORTE GRANDE 5 SPA</v>
      </c>
      <c r="C53" t="str">
        <f>_xlfn.XLOOKUP(A53,'[1]PFV Proyecto Puro'!$D$3:$D$78,'[1]PFV Proyecto Puro'!$M$3:$M$78,"---",0,1)</f>
        <v>-</v>
      </c>
      <c r="D53">
        <f>_xlfn.XLOOKUP(A53,'[1]SCORE Técnico 2025'!A$28:A$88,'[1]SCORE Técnico 2025'!M$28:M$88,"---",0,1)</f>
        <v>20</v>
      </c>
      <c r="E53">
        <f>_xlfn.XLOOKUP(A53,'[1]SCORE Técnico Promedio'!A$30:A$761,'[1]SCORE Técnico Promedio'!M$30:M$761,"---",0,1)</f>
        <v>21</v>
      </c>
      <c r="F53" s="4">
        <f>_xlfn.XLOOKUP(A53,'[1]PFV Proyecto Puro'!D$3:D$78,'[1]PFV Proyecto Puro'!CD$3:CD$78,"---",0,1)</f>
        <v>47.267385112566615</v>
      </c>
      <c r="G53" s="6">
        <f>_xlfn.XLOOKUP(A53,'[1]PFV Proyecto Puro'!D$3:D$78,'[1]PFV Proyecto Puro'!CE$3:CE$78,"---",0,1)</f>
        <v>43.797716855137359</v>
      </c>
      <c r="H53">
        <f>_xlfn.XLOOKUP(A53,'[1]SCORE comercial'!A$28:A$760,'[1]SCORE comercial'!H$28:H$760,"---",0,1)</f>
        <v>2</v>
      </c>
      <c r="I53">
        <f>_xlfn.XLOOKUP(A53,'[1]SCORE comercial'!A$28:A$760,'[1]SCORE comercial'!K$28:K$760,"---",0,1)</f>
        <v>1</v>
      </c>
    </row>
    <row r="54" spans="1:9" x14ac:dyDescent="0.3">
      <c r="A54" t="s">
        <v>48</v>
      </c>
      <c r="B54" t="str">
        <f>_xlfn.XLOOKUP(A54,'[1]PFV Proyecto Puro'!$D$3:$D$78,'[1]PFV Proyecto Puro'!$C$3:$C$78,"---",0,1)</f>
        <v>SONNEDIX COX ENERGY CHILE SPA</v>
      </c>
      <c r="C54" t="str">
        <f>_xlfn.XLOOKUP(A54,'[1]PFV Proyecto Puro'!$D$3:$D$78,'[1]PFV Proyecto Puro'!$M$3:$M$78,"---",0,1)</f>
        <v>-</v>
      </c>
      <c r="D54">
        <f>_xlfn.XLOOKUP(A54,'[1]SCORE Técnico 2025'!A$28:A$88,'[1]SCORE Técnico 2025'!M$28:M$88,"---",0,1)</f>
        <v>21</v>
      </c>
      <c r="E54">
        <f>_xlfn.XLOOKUP(A54,'[1]SCORE Técnico Promedio'!A$30:A$761,'[1]SCORE Técnico Promedio'!M$30:M$761,"---",0,1)</f>
        <v>23</v>
      </c>
      <c r="F54" s="4">
        <f>_xlfn.XLOOKUP(A54,'[1]PFV Proyecto Puro'!D$3:D$78,'[1]PFV Proyecto Puro'!CD$3:CD$78,"---",0,1)</f>
        <v>46.921269641603153</v>
      </c>
      <c r="G54" s="6">
        <f>_xlfn.XLOOKUP(A54,'[1]PFV Proyecto Puro'!D$3:D$78,'[1]PFV Proyecto Puro'!CE$3:CE$78,"---",0,1)</f>
        <v>53.406650841276864</v>
      </c>
      <c r="H54">
        <f>_xlfn.XLOOKUP(A54,'[1]SCORE comercial'!A$28:A$760,'[1]SCORE comercial'!H$28:H$760,"---",0,1)</f>
        <v>2</v>
      </c>
      <c r="I54">
        <f>_xlfn.XLOOKUP(A54,'[1]SCORE comercial'!A$28:A$760,'[1]SCORE comercial'!K$28:K$760,"---",0,1)</f>
        <v>3</v>
      </c>
    </row>
    <row r="55" spans="1:9" x14ac:dyDescent="0.3">
      <c r="A55" t="s">
        <v>43</v>
      </c>
      <c r="B55" t="str">
        <f>_xlfn.XLOOKUP(A55,'[1]PFV Proyecto Puro'!$D$3:$D$78,'[1]PFV Proyecto Puro'!$C$3:$C$78,"---",0,1)</f>
        <v>ENEL GREEN POWER CHILE S.A.</v>
      </c>
      <c r="C55" t="str">
        <f>_xlfn.XLOOKUP(A55,'[1]PFV Proyecto Puro'!$D$3:$D$78,'[1]PFV Proyecto Puro'!$M$3:$M$78,"---",0,1)</f>
        <v>-</v>
      </c>
      <c r="D55">
        <f>_xlfn.XLOOKUP(A55,'[1]SCORE Técnico 2025'!A$28:A$88,'[1]SCORE Técnico 2025'!M$28:M$88,"---",0,1)</f>
        <v>26</v>
      </c>
      <c r="E55">
        <f>_xlfn.XLOOKUP(A55,'[1]SCORE Técnico Promedio'!A$30:A$761,'[1]SCORE Técnico Promedio'!M$30:M$761,"---",0,1)</f>
        <v>26</v>
      </c>
      <c r="F55" s="4">
        <f>_xlfn.XLOOKUP(A55,'[1]PFV Proyecto Puro'!D$3:D$78,'[1]PFV Proyecto Puro'!CD$3:CD$78,"---",0,1)</f>
        <v>46.780683612984056</v>
      </c>
      <c r="G55" s="6">
        <f>_xlfn.XLOOKUP(A55,'[1]PFV Proyecto Puro'!D$3:D$78,'[1]PFV Proyecto Puro'!CE$3:CE$78,"---",0,1)</f>
        <v>45.575537933172924</v>
      </c>
      <c r="H55">
        <f>_xlfn.XLOOKUP(A55,'[1]SCORE comercial'!A$28:A$760,'[1]SCORE comercial'!H$28:H$760,"---",0,1)</f>
        <v>2</v>
      </c>
      <c r="I55">
        <f>_xlfn.XLOOKUP(A55,'[1]SCORE comercial'!A$28:A$760,'[1]SCORE comercial'!K$28:K$760,"---",0,1)</f>
        <v>2</v>
      </c>
    </row>
    <row r="56" spans="1:9" x14ac:dyDescent="0.3">
      <c r="A56" t="s">
        <v>41</v>
      </c>
      <c r="B56" t="str">
        <f>_xlfn.XLOOKUP(A56,'[1]PFV Proyecto Puro'!$D$3:$D$78,'[1]PFV Proyecto Puro'!$C$3:$C$78,"---",0,1)</f>
        <v>HUEMUL ENERGÍA SPA</v>
      </c>
      <c r="C56" t="str">
        <f>_xlfn.XLOOKUP(A56,'[1]PFV Proyecto Puro'!$D$3:$D$78,'[1]PFV Proyecto Puro'!$M$3:$M$78,"---",0,1)</f>
        <v>-</v>
      </c>
      <c r="D56">
        <f>_xlfn.XLOOKUP(A56,'[1]SCORE Técnico 2025'!A$28:A$88,'[1]SCORE Técnico 2025'!M$28:M$88,"---",0,1)</f>
        <v>19</v>
      </c>
      <c r="E56">
        <f>_xlfn.XLOOKUP(A56,'[1]SCORE Técnico Promedio'!A$30:A$761,'[1]SCORE Técnico Promedio'!M$30:M$761,"---",0,1)</f>
        <v>21</v>
      </c>
      <c r="F56" s="4">
        <f>_xlfn.XLOOKUP(A56,'[1]PFV Proyecto Puro'!D$3:D$78,'[1]PFV Proyecto Puro'!CD$3:CD$78,"---",0,1)</f>
        <v>45.758832419612908</v>
      </c>
      <c r="G56" s="6">
        <f>_xlfn.XLOOKUP(A56,'[1]PFV Proyecto Puro'!D$3:D$78,'[1]PFV Proyecto Puro'!CE$3:CE$78,"---",0,1)</f>
        <v>44.415675626314659</v>
      </c>
      <c r="H56">
        <f>_xlfn.XLOOKUP(A56,'[1]SCORE comercial'!A$28:A$760,'[1]SCORE comercial'!H$28:H$760,"---",0,1)</f>
        <v>2</v>
      </c>
      <c r="I56">
        <f>_xlfn.XLOOKUP(A56,'[1]SCORE comercial'!A$28:A$760,'[1]SCORE comercial'!K$28:K$760,"---",0,1)</f>
        <v>2</v>
      </c>
    </row>
    <row r="57" spans="1:9" x14ac:dyDescent="0.3">
      <c r="A57" t="s">
        <v>45</v>
      </c>
      <c r="B57" t="str">
        <f>_xlfn.XLOOKUP(A57,'[1]PFV Proyecto Puro'!$D$3:$D$78,'[1]PFV Proyecto Puro'!$C$3:$C$78,"---",0,1)</f>
        <v>ANDES SOLAR II SPA</v>
      </c>
      <c r="C57" t="str">
        <f>_xlfn.XLOOKUP(A57,'[1]PFV Proyecto Puro'!$D$3:$D$78,'[1]PFV Proyecto Puro'!$M$3:$M$78,"---",0,1)</f>
        <v>Existente</v>
      </c>
      <c r="D57">
        <f>_xlfn.XLOOKUP(A57,'[1]SCORE Técnico 2025'!A$28:A$88,'[1]SCORE Técnico 2025'!M$28:M$88,"---",0,1)</f>
        <v>21</v>
      </c>
      <c r="E57">
        <f>_xlfn.XLOOKUP(A57,'[1]SCORE Técnico Promedio'!A$30:A$761,'[1]SCORE Técnico Promedio'!M$30:M$761,"---",0,1)</f>
        <v>22</v>
      </c>
      <c r="F57" s="4">
        <f>_xlfn.XLOOKUP(A57,'[1]PFV Proyecto Puro'!D$3:D$78,'[1]PFV Proyecto Puro'!CD$3:CD$78,"---",0,1)</f>
        <v>45.353967057396005</v>
      </c>
      <c r="G57" s="6">
        <f>_xlfn.XLOOKUP(A57,'[1]PFV Proyecto Puro'!D$3:D$78,'[1]PFV Proyecto Puro'!CE$3:CE$78,"---",0,1)</f>
        <v>50.634977400775256</v>
      </c>
      <c r="H57">
        <f>_xlfn.XLOOKUP(A57,'[1]SCORE comercial'!A$28:A$760,'[1]SCORE comercial'!H$28:H$760,"---",0,1)</f>
        <v>1</v>
      </c>
      <c r="I57">
        <f>_xlfn.XLOOKUP(A57,'[1]SCORE comercial'!A$28:A$760,'[1]SCORE comercial'!K$28:K$760,"---",0,1)</f>
        <v>3</v>
      </c>
    </row>
    <row r="58" spans="1:9" x14ac:dyDescent="0.3">
      <c r="A58" t="s">
        <v>49</v>
      </c>
      <c r="B58" t="str">
        <f>_xlfn.XLOOKUP(A58,'[1]PFV Proyecto Puro'!$D$3:$D$78,'[1]PFV Proyecto Puro'!$C$3:$C$78,"---",0,1)</f>
        <v>ENEL GREEN POWER CHILE S.A.</v>
      </c>
      <c r="C58" t="str">
        <f>_xlfn.XLOOKUP(A58,'[1]PFV Proyecto Puro'!$D$3:$D$78,'[1]PFV Proyecto Puro'!$M$3:$M$78,"---",0,1)</f>
        <v>Construcción</v>
      </c>
      <c r="D58">
        <f>_xlfn.XLOOKUP(A58,'[1]SCORE Técnico 2025'!A$28:A$88,'[1]SCORE Técnico 2025'!M$28:M$88,"---",0,1)</f>
        <v>22</v>
      </c>
      <c r="E58">
        <f>_xlfn.XLOOKUP(A58,'[1]SCORE Técnico Promedio'!A$30:A$761,'[1]SCORE Técnico Promedio'!M$30:M$761,"---",0,1)</f>
        <v>22</v>
      </c>
      <c r="F58" s="4">
        <f>_xlfn.XLOOKUP(A58,'[1]PFV Proyecto Puro'!D$3:D$78,'[1]PFV Proyecto Puro'!CD$3:CD$78,"---",0,1)</f>
        <v>44.183957855804358</v>
      </c>
      <c r="G58" s="6">
        <f>_xlfn.XLOOKUP(A58,'[1]PFV Proyecto Puro'!D$3:D$78,'[1]PFV Proyecto Puro'!CE$3:CE$78,"---",0,1)</f>
        <v>44.183957855804358</v>
      </c>
      <c r="H58">
        <f>_xlfn.XLOOKUP(A58,'[1]SCORE comercial'!A$28:A$760,'[1]SCORE comercial'!H$28:H$760,"---",0,1)</f>
        <v>1</v>
      </c>
      <c r="I58">
        <f>_xlfn.XLOOKUP(A58,'[1]SCORE comercial'!A$28:A$760,'[1]SCORE comercial'!K$28:K$760,"---",0,1)</f>
        <v>2</v>
      </c>
    </row>
    <row r="59" spans="1:9" x14ac:dyDescent="0.3">
      <c r="A59" t="s">
        <v>46</v>
      </c>
      <c r="B59" t="str">
        <f>_xlfn.XLOOKUP(A59,'[1]PFV Proyecto Puro'!$D$3:$D$78,'[1]PFV Proyecto Puro'!$C$3:$C$78,"---",0,1)</f>
        <v>ENGIE ENERGÍA CHILE S.A.</v>
      </c>
      <c r="C59" t="str">
        <f>_xlfn.XLOOKUP(A59,'[1]PFV Proyecto Puro'!$D$3:$D$78,'[1]PFV Proyecto Puro'!$M$3:$M$78,"---",0,1)</f>
        <v>Existente</v>
      </c>
      <c r="D59">
        <f>_xlfn.XLOOKUP(A59,'[1]SCORE Técnico 2025'!A$28:A$88,'[1]SCORE Técnico 2025'!M$28:M$88,"---",0,1)</f>
        <v>23</v>
      </c>
      <c r="E59">
        <f>_xlfn.XLOOKUP(A59,'[1]SCORE Técnico Promedio'!A$30:A$761,'[1]SCORE Técnico Promedio'!M$30:M$761,"---",0,1)</f>
        <v>23</v>
      </c>
      <c r="F59" s="4">
        <f>_xlfn.XLOOKUP(A59,'[1]PFV Proyecto Puro'!D$3:D$78,'[1]PFV Proyecto Puro'!CD$3:CD$78,"---",0,1)</f>
        <v>39.133131346412249</v>
      </c>
      <c r="G59" s="6">
        <f>_xlfn.XLOOKUP(A59,'[1]PFV Proyecto Puro'!D$3:D$78,'[1]PFV Proyecto Puro'!CE$3:CE$78,"---",0,1)</f>
        <v>38.573698507744766</v>
      </c>
      <c r="H59">
        <f>_xlfn.XLOOKUP(A59,'[1]SCORE comercial'!A$28:A$760,'[1]SCORE comercial'!H$28:H$760,"---",0,1)</f>
        <v>1</v>
      </c>
      <c r="I59">
        <f>_xlfn.XLOOKUP(A59,'[1]SCORE comercial'!A$28:A$760,'[1]SCORE comercial'!K$28:K$760,"---",0,1)</f>
        <v>1</v>
      </c>
    </row>
    <row r="60" spans="1:9" x14ac:dyDescent="0.3">
      <c r="A60" t="s">
        <v>50</v>
      </c>
      <c r="B60" t="str">
        <f>_xlfn.XLOOKUP(A60,'[1]PFV Proyecto Puro'!$D$3:$D$78,'[1]PFV Proyecto Puro'!$C$3:$C$78,"---",0,1)</f>
        <v>ENEL GREEN POWER CHILE S.A.</v>
      </c>
      <c r="C60" t="str">
        <f>_xlfn.XLOOKUP(A60,'[1]PFV Proyecto Puro'!$D$3:$D$78,'[1]PFV Proyecto Puro'!$M$3:$M$78,"---",0,1)</f>
        <v>Existente</v>
      </c>
      <c r="D60">
        <f>_xlfn.XLOOKUP(A60,'[1]SCORE Técnico 2025'!A$28:A$88,'[1]SCORE Técnico 2025'!M$28:M$88,"---",0,1)</f>
        <v>26</v>
      </c>
      <c r="E60">
        <f>_xlfn.XLOOKUP(A60,'[1]SCORE Técnico Promedio'!A$30:A$761,'[1]SCORE Técnico Promedio'!M$30:M$761,"---",0,1)</f>
        <v>26</v>
      </c>
      <c r="F60" s="4">
        <f>_xlfn.XLOOKUP(A60,'[1]PFV Proyecto Puro'!D$3:D$78,'[1]PFV Proyecto Puro'!CD$3:CD$78,"---",0,1)</f>
        <v>37.517513914770269</v>
      </c>
      <c r="G60" s="6">
        <f>_xlfn.XLOOKUP(A60,'[1]PFV Proyecto Puro'!D$3:D$78,'[1]PFV Proyecto Puro'!CE$3:CE$78,"---",0,1)</f>
        <v>37.517513914770269</v>
      </c>
      <c r="H60">
        <f>_xlfn.XLOOKUP(A60,'[1]SCORE comercial'!A$28:A$760,'[1]SCORE comercial'!H$28:H$760,"---",0,1)</f>
        <v>1</v>
      </c>
      <c r="I60">
        <f>_xlfn.XLOOKUP(A60,'[1]SCORE comercial'!A$28:A$760,'[1]SCORE comercial'!K$28:K$760,"---",0,1)</f>
        <v>1</v>
      </c>
    </row>
    <row r="61" spans="1:9" x14ac:dyDescent="0.3">
      <c r="A61" t="s">
        <v>51</v>
      </c>
      <c r="B61" t="str">
        <f>_xlfn.XLOOKUP(A61,'[1]PFV Proyecto Puro'!$D$3:$D$78,'[1]PFV Proyecto Puro'!$C$3:$C$78,"---",0,1)</f>
        <v>ANDES SOLAR IV SPA</v>
      </c>
      <c r="C61" t="str">
        <f>_xlfn.XLOOKUP(A61,'[1]PFV Proyecto Puro'!$D$3:$D$78,'[1]PFV Proyecto Puro'!$M$3:$M$78,"---",0,1)</f>
        <v>Existente</v>
      </c>
      <c r="D61">
        <f>_xlfn.XLOOKUP(A61,'[1]SCORE Técnico 2025'!A$28:A$88,'[1]SCORE Técnico 2025'!M$28:M$88,"---",0,1)</f>
        <v>20</v>
      </c>
      <c r="E61">
        <f>_xlfn.XLOOKUP(A61,'[1]SCORE Técnico Promedio'!A$30:A$761,'[1]SCORE Técnico Promedio'!M$30:M$761,"---",0,1)</f>
        <v>20</v>
      </c>
      <c r="F61" s="4">
        <f>_xlfn.XLOOKUP(A61,'[1]PFV Proyecto Puro'!D$3:D$78,'[1]PFV Proyecto Puro'!CD$3:CD$78,"---",0,1)</f>
        <v>26.715633727325926</v>
      </c>
      <c r="G61" s="6">
        <f>_xlfn.XLOOKUP(A61,'[1]PFV Proyecto Puro'!D$3:D$78,'[1]PFV Proyecto Puro'!CE$3:CE$78,"---",0,1)</f>
        <v>26.715633727325926</v>
      </c>
      <c r="H61">
        <f>_xlfn.XLOOKUP(A61,'[1]SCORE comercial'!A$28:A$760,'[1]SCORE comercial'!H$28:H$760,"---",0,1)</f>
        <v>1</v>
      </c>
      <c r="I61">
        <f>_xlfn.XLOOKUP(A61,'[1]SCORE comercial'!A$28:A$760,'[1]SCORE comercial'!K$28:K$760,"---",0,1)</f>
        <v>1</v>
      </c>
    </row>
    <row r="62" spans="1:9" x14ac:dyDescent="0.3">
      <c r="A62" s="2" t="s">
        <v>56</v>
      </c>
      <c r="B62" t="str">
        <f>_xlfn.XLOOKUP(A62,'[1]PFV Proyecto Puro'!$D$3:$D$78,'[1]PFV Proyecto Puro'!$C$3:$C$78,"---",0,1)</f>
        <v>GR LIUN SPA</v>
      </c>
      <c r="C62" t="str">
        <f>_xlfn.XLOOKUP(A62,'[1]PFV Proyecto Puro'!$D$3:$D$78,'[1]PFV Proyecto Puro'!$M$3:$M$78,"---",0,1)</f>
        <v>Construcción</v>
      </c>
      <c r="D62">
        <f>_xlfn.XLOOKUP(A62,'[1]SCORE Técnico 2025'!A$28:A$88,'[1]SCORE Técnico 2025'!M$28:M$88,"---",0,1)</f>
        <v>27</v>
      </c>
      <c r="E62">
        <f>_xlfn.XLOOKUP(A62,'[1]SCORE Técnico Promedio'!A$30:A$761,'[1]SCORE Técnico Promedio'!M$30:M$761,"---",0,1)</f>
        <v>27</v>
      </c>
      <c r="F62" s="4">
        <f>_xlfn.XLOOKUP(A62,'[1]PFV Proyecto Puro'!D$3:D$78,'[1]PFV Proyecto Puro'!CD$3:CD$78,"---",0,1)</f>
        <v>20.753233477563935</v>
      </c>
      <c r="G62" s="6">
        <f>_xlfn.XLOOKUP(A62,'[1]PFV Proyecto Puro'!D$3:D$78,'[1]PFV Proyecto Puro'!CE$3:CE$78,"---",0,1)</f>
        <v>20.753233477563935</v>
      </c>
      <c r="H62">
        <f>_xlfn.XLOOKUP(A62,'[1]SCORE comercial'!A$28:A$760,'[1]SCORE comercial'!H$28:H$760,"---",0,1)</f>
        <v>1</v>
      </c>
      <c r="I62">
        <f>_xlfn.XLOOKUP(A62,'[1]SCORE comercial'!A$28:A$760,'[1]SCORE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2026-08-18T14:51:24Z</dcterms:modified>
</cp:coreProperties>
</file>